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Kapak" sheetId="1" state="visible" r:id="rId1"/>
    <sheet xmlns:r="http://schemas.openxmlformats.org/officeDocument/2006/relationships" name="📦 Tedarikçi Listesi" sheetId="2" state="visible" r:id="rId2"/>
    <sheet xmlns:r="http://schemas.openxmlformats.org/officeDocument/2006/relationships" name="⚠️ Risk Değerlendirme" sheetId="3" state="visible" r:id="rId3"/>
    <sheet xmlns:r="http://schemas.openxmlformats.org/officeDocument/2006/relationships" name="📊 Gösterge Paneli" sheetId="4" state="visible" r:id="rId4"/>
    <sheet xmlns:r="http://schemas.openxmlformats.org/officeDocument/2006/relationships" name="🎯 Aksiyon Planı" sheetId="5" state="visible" r:id="rId5"/>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Arial"/>
      <b val="1"/>
      <color rgb="00FFFFFF"/>
      <sz val="26"/>
    </font>
    <font>
      <name val="Arial"/>
      <color rgb="00F0C4BC"/>
      <sz val="9"/>
    </font>
    <font>
      <name val="Arial"/>
      <b val="1"/>
      <color rgb="008C1F0D"/>
      <sz val="20"/>
    </font>
    <font>
      <name val="Arial"/>
      <color rgb="006C757D"/>
      <sz val="11"/>
    </font>
    <font>
      <name val="Arial"/>
      <b val="1"/>
      <color rgb="008C1F0D"/>
      <sz val="10"/>
    </font>
    <font>
      <name val="Arial"/>
      <color rgb="00111009"/>
      <sz val="10"/>
    </font>
    <font>
      <name val="Arial"/>
      <b val="1"/>
      <color rgb="00FFFFFF"/>
      <sz val="11"/>
    </font>
    <font>
      <name val="Arial"/>
      <b val="1"/>
      <color rgb="00FFFFFF"/>
      <sz val="10"/>
    </font>
    <font>
      <name val="Arial"/>
      <i val="1"/>
      <color rgb="006C757D"/>
      <sz val="9"/>
    </font>
    <font>
      <name val="Arial"/>
      <b val="1"/>
      <color rgb="00FFFFFF"/>
      <sz val="13"/>
    </font>
    <font>
      <name val="Arial"/>
      <b val="1"/>
      <color rgb="00FFFFFF"/>
      <sz val="9"/>
    </font>
    <font>
      <name val="Arial"/>
      <b val="1"/>
      <color rgb="00111009"/>
      <sz val="11"/>
    </font>
    <font>
      <name val="Arial"/>
      <b val="1"/>
      <color rgb="00111009"/>
      <sz val="10"/>
    </font>
    <font>
      <name val="Arial"/>
      <b val="1"/>
      <color rgb="00111009"/>
      <sz val="9"/>
    </font>
    <font>
      <name val="Arial"/>
      <color rgb="00111009"/>
      <sz val="9"/>
    </font>
    <font>
      <name val="Arial"/>
      <b val="1"/>
      <color rgb="00111009"/>
      <sz val="24"/>
    </font>
    <font>
      <name val="Arial"/>
      <b val="1"/>
      <color rgb="00721C24"/>
      <sz val="24"/>
    </font>
    <font>
      <name val="Arial"/>
      <b val="1"/>
      <color rgb="007D3C00"/>
      <sz val="24"/>
    </font>
    <font>
      <name val="Arial"/>
      <b val="1"/>
      <color rgb="001E7E34"/>
      <sz val="24"/>
    </font>
    <font>
      <name val="Arial"/>
      <b val="1"/>
      <color rgb="008C1F0D"/>
      <sz val="32"/>
    </font>
    <font>
      <name val="Arial"/>
      <b val="1"/>
      <color rgb="001E7E34"/>
      <sz val="10"/>
    </font>
    <font>
      <name val="Arial"/>
      <b val="1"/>
      <color rgb="001E7E34"/>
      <sz val="14"/>
    </font>
    <font>
      <name val="Arial"/>
      <b val="1"/>
      <color rgb="00721C24"/>
      <sz val="10"/>
    </font>
    <font>
      <name val="Arial"/>
      <b val="1"/>
      <color rgb="00721C24"/>
      <sz val="14"/>
    </font>
    <font>
      <name val="Arial"/>
      <b val="1"/>
      <color rgb="00856404"/>
      <sz val="10"/>
    </font>
    <font>
      <name val="Arial"/>
      <b val="1"/>
      <color rgb="00856404"/>
      <sz val="14"/>
    </font>
  </fonts>
  <fills count="18">
    <fill>
      <patternFill/>
    </fill>
    <fill>
      <patternFill patternType="gray125"/>
    </fill>
    <fill>
      <patternFill patternType="solid">
        <fgColor rgb="00F4F0E8"/>
      </patternFill>
    </fill>
    <fill>
      <patternFill patternType="solid">
        <fgColor rgb="008C1F0D"/>
      </patternFill>
    </fill>
    <fill>
      <patternFill patternType="solid">
        <fgColor rgb="009A7B3A"/>
      </patternFill>
    </fill>
    <fill>
      <patternFill patternType="solid">
        <fgColor rgb="00E8E3D8"/>
      </patternFill>
    </fill>
    <fill>
      <patternFill patternType="solid">
        <fgColor rgb="00FFFFFF"/>
      </patternFill>
    </fill>
    <fill>
      <patternFill patternType="solid">
        <fgColor rgb="00111009"/>
      </patternFill>
    </fill>
    <fill>
      <patternFill patternType="solid">
        <fgColor rgb="00721C24"/>
      </patternFill>
    </fill>
    <fill>
      <patternFill patternType="solid">
        <fgColor rgb="00F8D7DA"/>
      </patternFill>
    </fill>
    <fill>
      <patternFill patternType="solid">
        <fgColor rgb="007D3C00"/>
      </patternFill>
    </fill>
    <fill>
      <patternFill patternType="solid">
        <fgColor rgb="00FFE5CC"/>
      </patternFill>
    </fill>
    <fill>
      <patternFill patternType="solid">
        <fgColor rgb="001E7E34"/>
      </patternFill>
    </fill>
    <fill>
      <patternFill patternType="solid">
        <fgColor rgb="00D4EDDA"/>
      </patternFill>
    </fill>
    <fill>
      <patternFill patternType="solid">
        <fgColor rgb="001A3A5C"/>
      </patternFill>
    </fill>
    <fill>
      <patternFill patternType="solid">
        <fgColor rgb="00F8F9FA"/>
      </patternFill>
    </fill>
    <fill>
      <patternFill patternType="solid">
        <fgColor rgb="00FFF3CD"/>
      </patternFill>
    </fill>
    <fill>
      <patternFill patternType="solid">
        <fgColor rgb="006C757D"/>
      </patternFill>
    </fill>
  </fills>
  <borders count="7">
    <border>
      <left/>
      <right/>
      <top/>
      <bottom/>
      <diagonal/>
    </border>
    <border>
      <left style="thin">
        <color rgb="00E0DBD0"/>
      </left>
      <right style="thin">
        <color rgb="00E0DBD0"/>
      </right>
      <top style="thin">
        <color rgb="00E0DBD0"/>
      </top>
      <bottom style="thin">
        <color rgb="00E0DBD0"/>
      </bottom>
    </border>
    <border>
      <left style="thin">
        <color rgb="00888888"/>
      </left>
      <right style="thin">
        <color rgb="00888888"/>
      </right>
      <top style="thin">
        <color rgb="00888888"/>
      </top>
      <bottom style="thin">
        <color rgb="00888888"/>
      </bottom>
    </border>
    <border>
      <left style="thin">
        <color rgb="00CCCCCC"/>
      </left>
      <right style="thin">
        <color rgb="00CCCCCC"/>
      </right>
      <top style="thin">
        <color rgb="00CCCCCC"/>
      </top>
      <bottom style="thin">
        <color rgb="00CCCCCC"/>
      </bottom>
    </border>
    <border>
      <left style="thin">
        <color rgb="00E8E3D8"/>
      </left>
      <right style="thin">
        <color rgb="00E8E3D8"/>
      </right>
      <top style="thin">
        <color rgb="00E8E3D8"/>
      </top>
      <bottom style="thin">
        <color rgb="00E8E3D8"/>
      </bottom>
    </border>
    <border>
      <left style="thin">
        <color rgb="00333333"/>
      </left>
      <right style="thin">
        <color rgb="00333333"/>
      </right>
      <top style="thin">
        <color rgb="00333333"/>
      </top>
      <bottom style="thin">
        <color rgb="00333333"/>
      </bottom>
    </border>
    <border>
      <left style="thin">
        <color rgb="00DEDEDE"/>
      </left>
      <right style="thin">
        <color rgb="00DEDEDE"/>
      </right>
      <top style="thin">
        <color rgb="00DEDEDE"/>
      </top>
      <bottom style="thin">
        <color rgb="00DEDEDE"/>
      </bottom>
    </border>
  </borders>
  <cellStyleXfs count="1">
    <xf numFmtId="0" fontId="0" fillId="0" borderId="0"/>
  </cellStyleXfs>
  <cellXfs count="52">
    <xf numFmtId="0" fontId="0" fillId="0" borderId="0" pivotButton="0" quotePrefix="0" xfId="0"/>
    <xf numFmtId="0" fontId="0" fillId="3" borderId="0" pivotButton="0" quotePrefix="0" xfId="0"/>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0" fontId="0" fillId="4" borderId="0" pivotButton="0" quotePrefix="0" xfId="0"/>
    <xf numFmtId="0" fontId="0" fillId="2" borderId="0" pivotButton="0" quotePrefix="0" xfId="0"/>
    <xf numFmtId="0" fontId="3"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5" fillId="5" borderId="1" applyAlignment="1" pivotButton="0" quotePrefix="0" xfId="0">
      <alignment horizontal="left" vertical="center" wrapText="1"/>
    </xf>
    <xf numFmtId="0" fontId="6" fillId="6" borderId="1" applyAlignment="1" pivotButton="0" quotePrefix="0" xfId="0">
      <alignment horizontal="left" vertical="center" wrapText="1"/>
    </xf>
    <xf numFmtId="0" fontId="7" fillId="7" borderId="0" applyAlignment="1" pivotButton="0" quotePrefix="0" xfId="0">
      <alignment horizontal="center" vertical="center" wrapText="1"/>
    </xf>
    <xf numFmtId="0" fontId="8" fillId="8" borderId="2" applyAlignment="1" pivotButton="0" quotePrefix="0" xfId="0">
      <alignment horizontal="center" vertical="center" wrapText="1"/>
    </xf>
    <xf numFmtId="0" fontId="6" fillId="9" borderId="3" applyAlignment="1" pivotButton="0" quotePrefix="0" xfId="0">
      <alignment horizontal="left" vertical="center" wrapText="1"/>
    </xf>
    <xf numFmtId="0" fontId="8" fillId="10" borderId="2" applyAlignment="1" pivotButton="0" quotePrefix="0" xfId="0">
      <alignment horizontal="center" vertical="center" wrapText="1"/>
    </xf>
    <xf numFmtId="0" fontId="6" fillId="11" borderId="3" applyAlignment="1" pivotButton="0" quotePrefix="0" xfId="0">
      <alignment horizontal="left" vertical="center" wrapText="1"/>
    </xf>
    <xf numFmtId="0" fontId="8" fillId="12" borderId="2" applyAlignment="1" pivotButton="0" quotePrefix="0" xfId="0">
      <alignment horizontal="center" vertical="center" wrapText="1"/>
    </xf>
    <xf numFmtId="0" fontId="6" fillId="13" borderId="3" applyAlignment="1" pivotButton="0" quotePrefix="0" xfId="0">
      <alignment horizontal="left" vertical="center" wrapText="1"/>
    </xf>
    <xf numFmtId="0" fontId="7" fillId="14" borderId="0" applyAlignment="1" pivotButton="0" quotePrefix="0" xfId="0">
      <alignment horizontal="center" vertical="center" wrapText="1"/>
    </xf>
    <xf numFmtId="0" fontId="6" fillId="6" borderId="4" applyAlignment="1" pivotButton="0" quotePrefix="0" xfId="0">
      <alignment horizontal="left" vertical="center" wrapText="1"/>
    </xf>
    <xf numFmtId="0" fontId="6" fillId="15" borderId="4" applyAlignment="1" pivotButton="0" quotePrefix="0" xfId="0">
      <alignment horizontal="left" vertical="center" wrapText="1"/>
    </xf>
    <xf numFmtId="0" fontId="9" fillId="16" borderId="0" applyAlignment="1" pivotButton="0" quotePrefix="0" xfId="0">
      <alignment horizontal="left" vertical="top" wrapText="1"/>
    </xf>
    <xf numFmtId="0" fontId="10" fillId="3" borderId="0" applyAlignment="1" pivotButton="0" quotePrefix="0" xfId="0">
      <alignment horizontal="center" vertical="center" wrapText="1"/>
    </xf>
    <xf numFmtId="0" fontId="8" fillId="7" borderId="5" applyAlignment="1" pivotButton="0" quotePrefix="0" xfId="0">
      <alignment horizontal="center" vertical="center" wrapText="1"/>
    </xf>
    <xf numFmtId="0" fontId="6" fillId="6" borderId="6" applyAlignment="1" pivotButton="0" quotePrefix="0" xfId="0">
      <alignment horizontal="center" vertical="center" wrapText="1"/>
    </xf>
    <xf numFmtId="0" fontId="6" fillId="6" borderId="6" applyAlignment="1" pivotButton="0" quotePrefix="0" xfId="0">
      <alignment horizontal="left" vertical="center" wrapText="1"/>
    </xf>
    <xf numFmtId="0" fontId="6" fillId="15" borderId="6" applyAlignment="1" pivotButton="0" quotePrefix="0" xfId="0">
      <alignment horizontal="center" vertical="center" wrapText="1"/>
    </xf>
    <xf numFmtId="0" fontId="6" fillId="15" borderId="6" applyAlignment="1" pivotButton="0" quotePrefix="0" xfId="0">
      <alignment horizontal="left" vertical="center" wrapText="1"/>
    </xf>
    <xf numFmtId="0" fontId="11" fillId="7" borderId="5" applyAlignment="1" pivotButton="0" quotePrefix="0" xfId="0">
      <alignment horizontal="center" vertical="center" wrapText="1"/>
    </xf>
    <xf numFmtId="0" fontId="12" fillId="6" borderId="6" applyAlignment="1" pivotButton="0" quotePrefix="0" xfId="0">
      <alignment horizontal="center" vertical="center" wrapText="1"/>
    </xf>
    <xf numFmtId="0" fontId="13" fillId="6" borderId="6" applyAlignment="1" pivotButton="0" quotePrefix="0" xfId="0">
      <alignment horizontal="center" vertical="center" wrapText="1"/>
    </xf>
    <xf numFmtId="0" fontId="12" fillId="15" borderId="6" applyAlignment="1" pivotButton="0" quotePrefix="0" xfId="0">
      <alignment horizontal="center" vertical="center" wrapText="1"/>
    </xf>
    <xf numFmtId="0" fontId="13" fillId="15" borderId="6" applyAlignment="1" pivotButton="0" quotePrefix="0" xfId="0">
      <alignment horizontal="center" vertical="center" wrapText="1"/>
    </xf>
    <xf numFmtId="0" fontId="8" fillId="7" borderId="0" applyAlignment="1" pivotButton="0" quotePrefix="0" xfId="0">
      <alignment horizontal="center" vertical="center" wrapText="1"/>
    </xf>
    <xf numFmtId="0" fontId="11" fillId="7" borderId="6" applyAlignment="1" pivotButton="0" quotePrefix="0" xfId="0">
      <alignment horizontal="left" vertical="center" wrapText="1"/>
    </xf>
    <xf numFmtId="0" fontId="15" fillId="15" borderId="6" applyAlignment="1" pivotButton="0" quotePrefix="0" xfId="0">
      <alignment horizontal="left" vertical="center" wrapText="1"/>
    </xf>
    <xf numFmtId="0" fontId="15" fillId="6" borderId="6" applyAlignment="1" pivotButton="0" quotePrefix="0" xfId="0">
      <alignment horizontal="left" vertical="center" wrapText="1"/>
    </xf>
    <xf numFmtId="0" fontId="8" fillId="7" borderId="2" applyAlignment="1" pivotButton="0" quotePrefix="0" xfId="0">
      <alignment horizontal="center" vertical="center" wrapText="1"/>
    </xf>
    <xf numFmtId="0" fontId="16" fillId="15" borderId="3" applyAlignment="1" pivotButton="0" quotePrefix="0" xfId="0">
      <alignment horizontal="center" vertical="center" wrapText="1"/>
    </xf>
    <xf numFmtId="0" fontId="17" fillId="9" borderId="3" applyAlignment="1" pivotButton="0" quotePrefix="0" xfId="0">
      <alignment horizontal="center" vertical="center" wrapText="1"/>
    </xf>
    <xf numFmtId="0" fontId="18" fillId="11" borderId="3" applyAlignment="1" pivotButton="0" quotePrefix="0" xfId="0">
      <alignment horizontal="center" vertical="center" wrapText="1"/>
    </xf>
    <xf numFmtId="0" fontId="19" fillId="13" borderId="3" applyAlignment="1" pivotButton="0" quotePrefix="0" xfId="0">
      <alignment horizontal="center" vertical="center" wrapText="1"/>
    </xf>
    <xf numFmtId="0" fontId="7" fillId="3" borderId="0" applyAlignment="1" pivotButton="0" quotePrefix="0" xfId="0">
      <alignment horizontal="center" vertical="center" wrapText="1"/>
    </xf>
    <xf numFmtId="0" fontId="20" fillId="6" borderId="3" applyAlignment="1" pivotButton="0" quotePrefix="0" xfId="0">
      <alignment horizontal="center" vertical="center" wrapText="1"/>
    </xf>
    <xf numFmtId="0" fontId="11" fillId="17" borderId="2" applyAlignment="1" pivotButton="0" quotePrefix="0" xfId="0">
      <alignment horizontal="center" vertical="center" wrapText="1"/>
    </xf>
    <xf numFmtId="0" fontId="21" fillId="13" borderId="3" applyAlignment="1" pivotButton="0" quotePrefix="0" xfId="0">
      <alignment horizontal="left" vertical="center" wrapText="1"/>
    </xf>
    <xf numFmtId="0" fontId="22" fillId="13" borderId="3" applyAlignment="1" pivotButton="0" quotePrefix="0" xfId="0">
      <alignment horizontal="center" vertical="center" wrapText="1"/>
    </xf>
    <xf numFmtId="0" fontId="23" fillId="9" borderId="3" applyAlignment="1" pivotButton="0" quotePrefix="0" xfId="0">
      <alignment horizontal="left" vertical="center" wrapText="1"/>
    </xf>
    <xf numFmtId="0" fontId="24" fillId="9" borderId="3" applyAlignment="1" pivotButton="0" quotePrefix="0" xfId="0">
      <alignment horizontal="center" vertical="center" wrapText="1"/>
    </xf>
    <xf numFmtId="0" fontId="25" fillId="16" borderId="3" applyAlignment="1" pivotButton="0" quotePrefix="0" xfId="0">
      <alignment horizontal="left" vertical="center" wrapText="1"/>
    </xf>
    <xf numFmtId="0" fontId="26" fillId="16" borderId="3" applyAlignment="1" pivotButton="0" quotePrefix="0" xfId="0">
      <alignment horizontal="center" vertical="center" wrapText="1"/>
    </xf>
    <xf numFmtId="0" fontId="15" fillId="6" borderId="6" applyAlignment="1" pivotButton="0" quotePrefix="0" xfId="0">
      <alignment horizontal="center" vertical="center" wrapText="1"/>
    </xf>
    <xf numFmtId="0" fontId="15" fillId="15" borderId="6" applyAlignment="1" pivotButton="0" quotePrefix="0" xfId="0">
      <alignment horizontal="center" vertical="center" wrapText="1"/>
    </xf>
  </cellXfs>
  <cellStyles count="1">
    <cellStyle name="Normal" xfId="0" builtinId="0" hidden="0"/>
  </cellStyles>
  <dxfs count="8">
    <dxf>
      <font>
        <name val="Arial"/>
        <b val="1"/>
        <color rgb="00721C24"/>
        <sz val="10"/>
      </font>
      <fill>
        <patternFill patternType="solid">
          <fgColor rgb="00F8D7DA"/>
        </patternFill>
      </fill>
    </dxf>
    <dxf>
      <font>
        <name val="Arial"/>
        <b val="1"/>
        <color rgb="007D3C00"/>
        <sz val="10"/>
      </font>
      <fill>
        <patternFill patternType="solid">
          <fgColor rgb="00FFE5CC"/>
        </patternFill>
      </fill>
    </dxf>
    <dxf>
      <font>
        <name val="Arial"/>
        <b val="1"/>
        <color rgb="001E7E34"/>
        <sz val="10"/>
      </font>
      <fill>
        <patternFill patternType="solid">
          <fgColor rgb="00D4EDDA"/>
        </patternFill>
      </fill>
    </dxf>
    <dxf>
      <font>
        <name val="Arial"/>
        <b val="1"/>
        <color rgb="00856404"/>
        <sz val="10"/>
      </font>
      <fill>
        <patternFill patternType="solid">
          <fgColor rgb="00FFF3CD"/>
        </patternFill>
      </fill>
    </dxf>
    <dxf>
      <font>
        <name val="Arial"/>
        <b val="1"/>
        <color rgb="00721C24"/>
        <sz val="9"/>
      </font>
      <fill>
        <patternFill patternType="solid">
          <fgColor rgb="00F8D7DA"/>
        </patternFill>
      </fill>
    </dxf>
    <dxf>
      <font>
        <name val="Arial"/>
        <b val="1"/>
        <color rgb="007D3C00"/>
        <sz val="9"/>
      </font>
      <fill>
        <patternFill patternType="solid">
          <fgColor rgb="00FFE5CC"/>
        </patternFill>
      </fill>
    </dxf>
    <dxf>
      <font>
        <name val="Arial"/>
        <b val="1"/>
        <color rgb="00856404"/>
        <sz val="9"/>
      </font>
      <fill>
        <patternFill patternType="solid">
          <fgColor rgb="00FFF3CD"/>
        </patternFill>
      </fill>
    </dxf>
    <dxf>
      <font>
        <name val="Arial"/>
        <b val="1"/>
        <color rgb="001E7E34"/>
        <sz val="9"/>
      </font>
      <fill>
        <patternFill patternType="solid">
          <fgColor rgb="00D4ED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4"/>
  <sheetViews>
    <sheetView showGridLines="0" workbookViewId="0">
      <selection activeCell="A1" sqref="A1"/>
    </sheetView>
  </sheetViews>
  <sheetFormatPr baseColWidth="8" defaultRowHeight="15"/>
  <cols>
    <col width="2"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n"/>
      <c r="B1" s="1" t="n"/>
      <c r="C1" s="1" t="n"/>
      <c r="D1" s="1" t="n"/>
      <c r="E1" s="1" t="n"/>
      <c r="F1" s="1" t="n"/>
      <c r="G1" s="1" t="n"/>
      <c r="H1" s="1" t="n"/>
      <c r="I1" s="1" t="n"/>
      <c r="J1" s="1" t="n"/>
      <c r="K1" s="1" t="n"/>
      <c r="L1" s="1" t="n"/>
    </row>
    <row r="2">
      <c r="A2" s="1" t="n"/>
      <c r="B2" s="2" t="inlineStr">
        <is>
          <t>THE GOVERNANCE</t>
        </is>
      </c>
    </row>
    <row r="3">
      <c r="A3" s="1" t="n"/>
      <c r="B3" s="3" t="inlineStr">
        <is>
          <t>Kurumsal Risk &amp; Teknoloji Yönetişimi  ·  thegovernance.com.tr</t>
        </is>
      </c>
    </row>
    <row r="4">
      <c r="A4" s="1" t="n"/>
      <c r="B4" s="1" t="n"/>
      <c r="C4" s="1" t="n"/>
      <c r="D4" s="1" t="n"/>
      <c r="E4" s="1" t="n"/>
      <c r="F4" s="1" t="n"/>
      <c r="G4" s="1" t="n"/>
      <c r="H4" s="1" t="n"/>
      <c r="I4" s="1" t="n"/>
      <c r="J4" s="1" t="n"/>
      <c r="K4" s="1" t="n"/>
      <c r="L4" s="1" t="n"/>
    </row>
    <row r="5" ht="3" customHeight="1">
      <c r="A5" s="1" t="n"/>
      <c r="B5" s="4" t="n"/>
    </row>
    <row r="6">
      <c r="A6" s="1" t="n"/>
      <c r="B6" s="1" t="n"/>
      <c r="C6" s="1" t="n"/>
      <c r="D6" s="1" t="n"/>
      <c r="E6" s="1" t="n"/>
      <c r="F6" s="1" t="n"/>
      <c r="G6" s="1" t="n"/>
      <c r="H6" s="1" t="n"/>
      <c r="I6" s="1" t="n"/>
      <c r="J6" s="1" t="n"/>
      <c r="K6" s="1" t="n"/>
      <c r="L6" s="1" t="n"/>
    </row>
    <row r="7" ht="32" customHeight="1">
      <c r="A7" s="5" t="n"/>
      <c r="B7" s="6" t="inlineStr">
        <is>
          <t>TEDARİKÇİ RİSK DEĞERLENDİRME MATRİSİ</t>
        </is>
      </c>
    </row>
    <row r="8">
      <c r="A8" s="5" t="n"/>
      <c r="B8" s="7" t="inlineStr">
        <is>
          <t>Üçüncü Taraf &amp; Tedarik Zinciri Risk Yönetimi — Kurumsal Değerlendirme Aracı</t>
        </is>
      </c>
    </row>
    <row r="9" ht="10" customHeight="1">
      <c r="A9" s="5" t="n"/>
      <c r="B9" s="5" t="n"/>
      <c r="C9" s="5" t="n"/>
      <c r="D9" s="5" t="n"/>
      <c r="E9" s="5" t="n"/>
      <c r="F9" s="5" t="n"/>
      <c r="G9" s="5" t="n"/>
      <c r="H9" s="5" t="n"/>
      <c r="I9" s="5" t="n"/>
      <c r="J9" s="5" t="n"/>
      <c r="K9" s="5" t="n"/>
      <c r="L9" s="5" t="n"/>
    </row>
    <row r="10" ht="22" customHeight="1">
      <c r="A10" s="5" t="n"/>
      <c r="B10" s="8" t="inlineStr">
        <is>
          <t>Hazırlayan</t>
        </is>
      </c>
      <c r="E10" s="9" t="inlineStr">
        <is>
          <t>The Governance Editörü</t>
        </is>
      </c>
    </row>
    <row r="11">
      <c r="A11" s="5" t="n"/>
      <c r="B11" s="5" t="n"/>
      <c r="C11" s="5" t="n"/>
      <c r="D11" s="5" t="n"/>
      <c r="E11" s="5" t="n"/>
      <c r="F11" s="5" t="n"/>
      <c r="G11" s="5" t="n"/>
      <c r="H11" s="5" t="n"/>
      <c r="I11" s="5" t="n"/>
      <c r="J11" s="5" t="n"/>
      <c r="K11" s="5" t="n"/>
      <c r="L11" s="5" t="n"/>
    </row>
    <row r="12" ht="22" customHeight="1">
      <c r="A12" s="5" t="n"/>
      <c r="B12" s="8" t="inlineStr">
        <is>
          <t>Versiyon</t>
        </is>
      </c>
      <c r="E12" s="9" t="inlineStr">
        <is>
          <t>v1.0 — Mayıs 2026</t>
        </is>
      </c>
    </row>
    <row r="13">
      <c r="A13" s="5" t="n"/>
      <c r="B13" s="5" t="n"/>
      <c r="C13" s="5" t="n"/>
      <c r="D13" s="5" t="n"/>
      <c r="E13" s="5" t="n"/>
      <c r="F13" s="5" t="n"/>
      <c r="G13" s="5" t="n"/>
      <c r="H13" s="5" t="n"/>
      <c r="I13" s="5" t="n"/>
      <c r="J13" s="5" t="n"/>
      <c r="K13" s="5" t="n"/>
      <c r="L13" s="5" t="n"/>
    </row>
    <row r="14" ht="22" customHeight="1">
      <c r="A14" s="5" t="n"/>
      <c r="B14" s="8" t="inlineStr">
        <is>
          <t>Dayanak</t>
        </is>
      </c>
      <c r="E14" s="9" t="inlineStr">
        <is>
          <t>ISO 28000 · ISO 20400 · KVKK Md.8 · AB CBAM · Group-IB 2026</t>
        </is>
      </c>
    </row>
    <row r="15">
      <c r="A15" s="5" t="n"/>
      <c r="B15" s="5" t="n"/>
      <c r="C15" s="5" t="n"/>
      <c r="D15" s="5" t="n"/>
      <c r="E15" s="5" t="n"/>
      <c r="F15" s="5" t="n"/>
      <c r="G15" s="5" t="n"/>
      <c r="H15" s="5" t="n"/>
      <c r="I15" s="5" t="n"/>
      <c r="J15" s="5" t="n"/>
      <c r="K15" s="5" t="n"/>
      <c r="L15" s="5" t="n"/>
    </row>
    <row r="16" ht="22" customHeight="1">
      <c r="A16" s="5" t="n"/>
      <c r="B16" s="8" t="inlineStr">
        <is>
          <t>Hedef Kitle</t>
        </is>
      </c>
      <c r="E16" s="9" t="inlineStr">
        <is>
          <t>COO · Satın Alma · Tedarik Zinciri · Risk &amp; Compliance · İç Denetim</t>
        </is>
      </c>
    </row>
    <row r="17">
      <c r="A17" s="5" t="n"/>
      <c r="B17" s="5" t="n"/>
      <c r="C17" s="5" t="n"/>
      <c r="D17" s="5" t="n"/>
      <c r="E17" s="5" t="n"/>
      <c r="F17" s="5" t="n"/>
      <c r="G17" s="5" t="n"/>
      <c r="H17" s="5" t="n"/>
      <c r="I17" s="5" t="n"/>
      <c r="J17" s="5" t="n"/>
      <c r="K17" s="5" t="n"/>
      <c r="L17" s="5" t="n"/>
    </row>
    <row r="18" ht="22" customHeight="1">
      <c r="A18" s="5" t="n"/>
      <c r="B18" s="8" t="inlineStr">
        <is>
          <t>Kullanım</t>
        </is>
      </c>
      <c r="E18" s="9" t="inlineStr">
        <is>
          <t>Tedarikçi onboarding, yıllık risk değerlendirme, denetim hazırlığı</t>
        </is>
      </c>
    </row>
    <row r="19">
      <c r="A19" s="5" t="n"/>
      <c r="B19" s="5" t="n"/>
      <c r="C19" s="5" t="n"/>
      <c r="D19" s="5" t="n"/>
      <c r="E19" s="5" t="n"/>
      <c r="F19" s="5" t="n"/>
      <c r="G19" s="5" t="n"/>
      <c r="H19" s="5" t="n"/>
      <c r="I19" s="5" t="n"/>
      <c r="J19" s="5" t="n"/>
      <c r="K19" s="5" t="n"/>
      <c r="L19" s="5" t="n"/>
    </row>
    <row r="20" ht="10" customHeight="1">
      <c r="A20" s="5" t="n"/>
      <c r="B20" s="5" t="n"/>
      <c r="C20" s="5" t="n"/>
      <c r="D20" s="5" t="n"/>
      <c r="E20" s="5" t="n"/>
      <c r="F20" s="5" t="n"/>
      <c r="G20" s="5" t="n"/>
      <c r="H20" s="5" t="n"/>
      <c r="I20" s="5" t="n"/>
      <c r="J20" s="5" t="n"/>
      <c r="K20" s="5" t="n"/>
      <c r="L20" s="5" t="n"/>
    </row>
    <row r="21">
      <c r="A21" s="5" t="n"/>
      <c r="B21" s="10" t="inlineStr">
        <is>
          <t>TEDARİKÇİ SINIFLANDIRMA SİSTEMİ</t>
        </is>
      </c>
    </row>
    <row r="22" ht="24" customHeight="1">
      <c r="A22" s="5" t="n"/>
      <c r="B22" s="11" t="inlineStr">
        <is>
          <t>KRİTİK</t>
        </is>
      </c>
      <c r="E22" s="12" t="inlineStr">
        <is>
          <t>Tek kaynak, ikamesi 30+ gün, kurumsal operasyonu doğrudan etkiler</t>
        </is>
      </c>
    </row>
    <row r="23" ht="24" customHeight="1">
      <c r="A23" s="5" t="n"/>
      <c r="B23" s="13" t="inlineStr">
        <is>
          <t>YÜKSELTİLMİŞ</t>
        </is>
      </c>
      <c r="E23" s="14" t="inlineStr">
        <is>
          <t>Alternatif var ama geçiş maliyetli, önemli hizmet kesintisi riski</t>
        </is>
      </c>
    </row>
    <row r="24" ht="24" customHeight="1">
      <c r="A24" s="5" t="n"/>
      <c r="B24" s="15" t="inlineStr">
        <is>
          <t>STANDART</t>
        </is>
      </c>
      <c r="E24" s="16" t="inlineStr">
        <is>
          <t>Kolayca değiştirilebilir, kısa geçiş süresi, düşük operasyonel etki</t>
        </is>
      </c>
    </row>
    <row r="25" ht="10" customHeight="1">
      <c r="A25" s="5" t="n"/>
      <c r="B25" s="5" t="n"/>
      <c r="C25" s="5" t="n"/>
      <c r="D25" s="5" t="n"/>
      <c r="E25" s="5" t="n"/>
      <c r="F25" s="5" t="n"/>
      <c r="G25" s="5" t="n"/>
      <c r="H25" s="5" t="n"/>
      <c r="I25" s="5" t="n"/>
      <c r="J25" s="5" t="n"/>
      <c r="K25" s="5" t="n"/>
      <c r="L25" s="5" t="n"/>
    </row>
    <row r="26">
      <c r="A26" s="5" t="n"/>
      <c r="B26" s="17" t="inlineStr">
        <is>
          <t>NASIL KULLANILIR?</t>
        </is>
      </c>
    </row>
    <row r="27" ht="22" customHeight="1">
      <c r="A27" s="5" t="n"/>
      <c r="B27" s="18" t="inlineStr">
        <is>
          <t>1️⃣  'Tedarikçi Listesi' sekmesinde tüm tedarikçilerinizi girin ve sınıflandırın</t>
        </is>
      </c>
    </row>
    <row r="28" ht="22" customHeight="1">
      <c r="A28" s="5" t="n"/>
      <c r="B28" s="19" t="inlineStr">
        <is>
          <t>2️⃣  'Risk Değerlendirme' sekmesinde her tedarikçi için 6 risk kategorisini puanlayın (1-5)</t>
        </is>
      </c>
    </row>
    <row r="29" ht="22" customHeight="1">
      <c r="A29" s="5" t="n"/>
      <c r="B29" s="18" t="inlineStr">
        <is>
          <t>3️⃣  Ağırlıklı risk skoru otomatik hesaplanır — Düşük / Orta / Yüksek / Kritik</t>
        </is>
      </c>
    </row>
    <row r="30" ht="22" customHeight="1">
      <c r="A30" s="5" t="n"/>
      <c r="B30" s="19" t="inlineStr">
        <is>
          <t>4️⃣  'Gösterge Paneli' sekmesinde portföy genelinde risk haritanızı görün</t>
        </is>
      </c>
    </row>
    <row r="31" ht="22" customHeight="1">
      <c r="A31" s="5" t="n"/>
      <c r="B31" s="18" t="inlineStr">
        <is>
          <t>5️⃣  'Aksiyon Planı' sekmesinde yüksek riskli tedarikçiler için önlem alın</t>
        </is>
      </c>
    </row>
    <row r="32" ht="22" customHeight="1">
      <c r="A32" s="5" t="n"/>
      <c r="B32" s="19" t="inlineStr">
        <is>
          <t>6️⃣  Yılda en az bir kez güncelleyin — kritik tedarikçiler için 6 ayda bir</t>
        </is>
      </c>
    </row>
    <row r="33" ht="10" customHeight="1">
      <c r="A33" s="5" t="n"/>
      <c r="B33" s="5" t="n"/>
      <c r="C33" s="5" t="n"/>
      <c r="D33" s="5" t="n"/>
      <c r="E33" s="5" t="n"/>
      <c r="F33" s="5" t="n"/>
      <c r="G33" s="5" t="n"/>
      <c r="H33" s="5" t="n"/>
      <c r="I33" s="5" t="n"/>
      <c r="J33" s="5" t="n"/>
      <c r="K33" s="5" t="n"/>
      <c r="L33" s="5" t="n"/>
    </row>
    <row r="34">
      <c r="A34" s="5" t="n"/>
      <c r="B34" s="20" t="inlineStr">
        <is>
          <t>⚠  Bu araç genel bilgilendirme amacıyla hazırlanmıştır. Kurumunuza özel risk iştahı ve sektör dinamiklerine göre ağırlıklandırmaları güncellemeniz önerilir. © 2026 The Governance · thegovernance.com.tr</t>
        </is>
      </c>
    </row>
    <row r="35">
      <c r="A35" s="5" t="n"/>
    </row>
    <row r="36">
      <c r="A36" s="5" t="n"/>
    </row>
    <row r="37">
      <c r="A37" s="5" t="n"/>
      <c r="B37" s="5" t="n"/>
      <c r="C37" s="5" t="n"/>
      <c r="D37" s="5" t="n"/>
      <c r="E37" s="5" t="n"/>
      <c r="F37" s="5" t="n"/>
      <c r="G37" s="5" t="n"/>
      <c r="H37" s="5" t="n"/>
      <c r="I37" s="5" t="n"/>
      <c r="J37" s="5" t="n"/>
      <c r="K37" s="5" t="n"/>
      <c r="L37" s="5" t="n"/>
    </row>
    <row r="38">
      <c r="A38" s="5" t="n"/>
      <c r="B38" s="5" t="n"/>
      <c r="C38" s="5" t="n"/>
      <c r="D38" s="5" t="n"/>
      <c r="E38" s="5" t="n"/>
      <c r="F38" s="5" t="n"/>
      <c r="G38" s="5" t="n"/>
      <c r="H38" s="5" t="n"/>
      <c r="I38" s="5" t="n"/>
      <c r="J38" s="5" t="n"/>
      <c r="K38" s="5" t="n"/>
      <c r="L38" s="5" t="n"/>
    </row>
    <row r="39">
      <c r="A39" s="5" t="n"/>
      <c r="B39" s="5" t="n"/>
      <c r="C39" s="5" t="n"/>
      <c r="D39" s="5" t="n"/>
      <c r="E39" s="5" t="n"/>
      <c r="F39" s="5" t="n"/>
      <c r="G39" s="5" t="n"/>
      <c r="H39" s="5" t="n"/>
      <c r="I39" s="5" t="n"/>
      <c r="J39" s="5" t="n"/>
      <c r="K39" s="5" t="n"/>
      <c r="L39" s="5" t="n"/>
    </row>
    <row r="40">
      <c r="A40" s="5" t="n"/>
      <c r="B40" s="5" t="n"/>
      <c r="C40" s="5" t="n"/>
      <c r="D40" s="5" t="n"/>
      <c r="E40" s="5" t="n"/>
      <c r="F40" s="5" t="n"/>
      <c r="G40" s="5" t="n"/>
      <c r="H40" s="5" t="n"/>
      <c r="I40" s="5" t="n"/>
      <c r="J40" s="5" t="n"/>
      <c r="K40" s="5" t="n"/>
      <c r="L40" s="5" t="n"/>
    </row>
    <row r="41">
      <c r="A41" s="5" t="n"/>
      <c r="B41" s="5" t="n"/>
      <c r="C41" s="5" t="n"/>
      <c r="D41" s="5" t="n"/>
      <c r="E41" s="5" t="n"/>
      <c r="F41" s="5" t="n"/>
      <c r="G41" s="5" t="n"/>
      <c r="H41" s="5" t="n"/>
      <c r="I41" s="5" t="n"/>
      <c r="J41" s="5" t="n"/>
      <c r="K41" s="5" t="n"/>
      <c r="L41" s="5" t="n"/>
    </row>
    <row r="42">
      <c r="A42" s="5" t="n"/>
      <c r="B42" s="5" t="n"/>
      <c r="C42" s="5" t="n"/>
      <c r="D42" s="5" t="n"/>
      <c r="E42" s="5" t="n"/>
      <c r="F42" s="5" t="n"/>
      <c r="G42" s="5" t="n"/>
      <c r="H42" s="5" t="n"/>
      <c r="I42" s="5" t="n"/>
      <c r="J42" s="5" t="n"/>
      <c r="K42" s="5" t="n"/>
      <c r="L42" s="5" t="n"/>
    </row>
    <row r="43">
      <c r="A43" s="5" t="n"/>
      <c r="B43" s="5" t="n"/>
      <c r="C43" s="5" t="n"/>
      <c r="D43" s="5" t="n"/>
      <c r="E43" s="5" t="n"/>
      <c r="F43" s="5" t="n"/>
      <c r="G43" s="5" t="n"/>
      <c r="H43" s="5" t="n"/>
      <c r="I43" s="5" t="n"/>
      <c r="J43" s="5" t="n"/>
      <c r="K43" s="5" t="n"/>
      <c r="L43" s="5" t="n"/>
    </row>
    <row r="44">
      <c r="A44" s="5" t="n"/>
      <c r="B44" s="5" t="n"/>
      <c r="C44" s="5" t="n"/>
      <c r="D44" s="5" t="n"/>
      <c r="E44" s="5" t="n"/>
      <c r="F44" s="5" t="n"/>
      <c r="G44" s="5" t="n"/>
      <c r="H44" s="5" t="n"/>
      <c r="I44" s="5" t="n"/>
      <c r="J44" s="5" t="n"/>
      <c r="K44" s="5" t="n"/>
      <c r="L44" s="5" t="n"/>
    </row>
    <row r="45">
      <c r="A45" s="5" t="n"/>
      <c r="B45" s="5" t="n"/>
      <c r="C45" s="5" t="n"/>
      <c r="D45" s="5" t="n"/>
      <c r="E45" s="5" t="n"/>
      <c r="F45" s="5" t="n"/>
      <c r="G45" s="5" t="n"/>
      <c r="H45" s="5" t="n"/>
      <c r="I45" s="5" t="n"/>
      <c r="J45" s="5" t="n"/>
      <c r="K45" s="5" t="n"/>
      <c r="L45" s="5" t="n"/>
    </row>
    <row r="46">
      <c r="A46" s="5" t="n"/>
      <c r="B46" s="5" t="n"/>
      <c r="C46" s="5" t="n"/>
      <c r="D46" s="5" t="n"/>
      <c r="E46" s="5" t="n"/>
      <c r="F46" s="5" t="n"/>
      <c r="G46" s="5" t="n"/>
      <c r="H46" s="5" t="n"/>
      <c r="I46" s="5" t="n"/>
      <c r="J46" s="5" t="n"/>
      <c r="K46" s="5" t="n"/>
      <c r="L46" s="5" t="n"/>
    </row>
    <row r="47">
      <c r="A47" s="5" t="n"/>
      <c r="B47" s="5" t="n"/>
      <c r="C47" s="5" t="n"/>
      <c r="D47" s="5" t="n"/>
      <c r="E47" s="5" t="n"/>
      <c r="F47" s="5" t="n"/>
      <c r="G47" s="5" t="n"/>
      <c r="H47" s="5" t="n"/>
      <c r="I47" s="5" t="n"/>
      <c r="J47" s="5" t="n"/>
      <c r="K47" s="5" t="n"/>
      <c r="L47" s="5" t="n"/>
    </row>
    <row r="48">
      <c r="A48" s="5" t="n"/>
      <c r="B48" s="5" t="n"/>
      <c r="C48" s="5" t="n"/>
      <c r="D48" s="5" t="n"/>
      <c r="E48" s="5" t="n"/>
      <c r="F48" s="5" t="n"/>
      <c r="G48" s="5" t="n"/>
      <c r="H48" s="5" t="n"/>
      <c r="I48" s="5" t="n"/>
      <c r="J48" s="5" t="n"/>
      <c r="K48" s="5" t="n"/>
      <c r="L48" s="5" t="n"/>
    </row>
    <row r="49">
      <c r="A49" s="5" t="n"/>
      <c r="B49" s="5" t="n"/>
      <c r="C49" s="5" t="n"/>
      <c r="D49" s="5" t="n"/>
      <c r="E49" s="5" t="n"/>
      <c r="F49" s="5" t="n"/>
      <c r="G49" s="5" t="n"/>
      <c r="H49" s="5" t="n"/>
      <c r="I49" s="5" t="n"/>
      <c r="J49" s="5" t="n"/>
      <c r="K49" s="5" t="n"/>
      <c r="L49" s="5" t="n"/>
    </row>
    <row r="50">
      <c r="A50" s="5" t="n"/>
      <c r="B50" s="5" t="n"/>
      <c r="C50" s="5" t="n"/>
      <c r="D50" s="5" t="n"/>
      <c r="E50" s="5" t="n"/>
      <c r="F50" s="5" t="n"/>
      <c r="G50" s="5" t="n"/>
      <c r="H50" s="5" t="n"/>
      <c r="I50" s="5" t="n"/>
      <c r="J50" s="5" t="n"/>
      <c r="K50" s="5" t="n"/>
      <c r="L50" s="5" t="n"/>
    </row>
    <row r="51">
      <c r="A51" s="5" t="n"/>
      <c r="B51" s="5" t="n"/>
      <c r="C51" s="5" t="n"/>
      <c r="D51" s="5" t="n"/>
      <c r="E51" s="5" t="n"/>
      <c r="F51" s="5" t="n"/>
      <c r="G51" s="5" t="n"/>
      <c r="H51" s="5" t="n"/>
      <c r="I51" s="5" t="n"/>
      <c r="J51" s="5" t="n"/>
      <c r="K51" s="5" t="n"/>
      <c r="L51" s="5" t="n"/>
    </row>
    <row r="52">
      <c r="A52" s="5" t="n"/>
      <c r="B52" s="5" t="n"/>
      <c r="C52" s="5" t="n"/>
      <c r="D52" s="5" t="n"/>
      <c r="E52" s="5" t="n"/>
      <c r="F52" s="5" t="n"/>
      <c r="G52" s="5" t="n"/>
      <c r="H52" s="5" t="n"/>
      <c r="I52" s="5" t="n"/>
      <c r="J52" s="5" t="n"/>
      <c r="K52" s="5" t="n"/>
      <c r="L52" s="5" t="n"/>
    </row>
    <row r="53">
      <c r="A53" s="5" t="n"/>
      <c r="B53" s="5" t="n"/>
      <c r="C53" s="5" t="n"/>
      <c r="D53" s="5" t="n"/>
      <c r="E53" s="5" t="n"/>
      <c r="F53" s="5" t="n"/>
      <c r="G53" s="5" t="n"/>
      <c r="H53" s="5" t="n"/>
      <c r="I53" s="5" t="n"/>
      <c r="J53" s="5" t="n"/>
      <c r="K53" s="5" t="n"/>
      <c r="L53" s="5" t="n"/>
    </row>
    <row r="54">
      <c r="A54" s="5" t="n"/>
      <c r="B54" s="5" t="n"/>
      <c r="C54" s="5" t="n"/>
      <c r="D54" s="5" t="n"/>
      <c r="E54" s="5" t="n"/>
      <c r="F54" s="5" t="n"/>
      <c r="G54" s="5" t="n"/>
      <c r="H54" s="5" t="n"/>
      <c r="I54" s="5" t="n"/>
      <c r="J54" s="5" t="n"/>
      <c r="K54" s="5" t="n"/>
      <c r="L54" s="5" t="n"/>
    </row>
  </sheetData>
  <mergeCells count="30">
    <mergeCell ref="E12:L12"/>
    <mergeCell ref="E18:L18"/>
    <mergeCell ref="B26:L26"/>
    <mergeCell ref="B14:D14"/>
    <mergeCell ref="B23:D23"/>
    <mergeCell ref="B7:L7"/>
    <mergeCell ref="B3:L3"/>
    <mergeCell ref="E24:L24"/>
    <mergeCell ref="E14:L14"/>
    <mergeCell ref="E23:L23"/>
    <mergeCell ref="B31:L31"/>
    <mergeCell ref="B27:L27"/>
    <mergeCell ref="B10:D10"/>
    <mergeCell ref="B21:L21"/>
    <mergeCell ref="B2:L2"/>
    <mergeCell ref="E10:L10"/>
    <mergeCell ref="B24:D24"/>
    <mergeCell ref="B8:L8"/>
    <mergeCell ref="B29:L29"/>
    <mergeCell ref="B28:L28"/>
    <mergeCell ref="B16:D16"/>
    <mergeCell ref="B30:L30"/>
    <mergeCell ref="B34:L36"/>
    <mergeCell ref="B22:D22"/>
    <mergeCell ref="E16:L16"/>
    <mergeCell ref="B5:L5"/>
    <mergeCell ref="B18:D18"/>
    <mergeCell ref="E22:L22"/>
    <mergeCell ref="B12:D12"/>
    <mergeCell ref="B32:L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
  <sheetViews>
    <sheetView showGridLines="0" workbookViewId="0">
      <pane ySplit="4" topLeftCell="A5" activePane="bottomLeft" state="frozen"/>
      <selection pane="bottomLeft" activeCell="A1" sqref="A1"/>
    </sheetView>
  </sheetViews>
  <sheetFormatPr baseColWidth="8" defaultRowHeight="15"/>
  <cols>
    <col width="4" customWidth="1" min="1" max="1"/>
    <col width="28" customWidth="1" min="2" max="2"/>
    <col width="22" customWidth="1" min="3" max="3"/>
    <col width="12" customWidth="1" min="4" max="4"/>
    <col width="16" customWidth="1" min="5" max="5"/>
    <col width="18" customWidth="1" min="6" max="6"/>
    <col width="14" customWidth="1" min="7" max="7"/>
    <col width="16" customWidth="1" min="8" max="8"/>
    <col width="16" customWidth="1" min="9" max="9"/>
    <col width="16" customWidth="1" min="10" max="10"/>
    <col width="22" customWidth="1" min="11" max="11"/>
    <col width="16" customWidth="1" min="12" max="12"/>
    <col width="30" customWidth="1" min="13" max="13"/>
  </cols>
  <sheetData>
    <row r="1">
      <c r="A1" s="21" t="inlineStr">
        <is>
          <t>THE GOVERNANCE  ·  TEDARİKÇİ PORTFÖY LİSTESİ</t>
        </is>
      </c>
    </row>
    <row r="2">
      <c r="A2" s="3" t="inlineStr">
        <is>
          <t>Tüm tedarikçilerinizi bu sekmede kayıt altına alın — Risk Değerlendirme sekmesine referans oluşturur</t>
        </is>
      </c>
    </row>
    <row r="3" ht="6" customHeight="1"/>
    <row r="4" ht="30" customHeight="1">
      <c r="A4" s="22" t="inlineStr">
        <is>
          <t>#</t>
        </is>
      </c>
      <c r="B4" s="22" t="inlineStr">
        <is>
          <t>TEDARİKÇİ ADI</t>
        </is>
      </c>
      <c r="C4" s="22" t="inlineStr">
        <is>
          <t>SEKTÖR / KATEGORİ</t>
        </is>
      </c>
      <c r="D4" s="22" t="inlineStr">
        <is>
          <t>ÜLKE</t>
        </is>
      </c>
      <c r="E4" s="22" t="inlineStr">
        <is>
          <t>SINIFLANDIRMA</t>
        </is>
      </c>
      <c r="F4" s="22" t="inlineStr">
        <is>
          <t>YILLIK HARCAMA (TL)</t>
        </is>
      </c>
      <c r="G4" s="22" t="inlineStr">
        <is>
          <t>SÖZLEŞME BİTİŞİ</t>
        </is>
      </c>
      <c r="H4" s="22" t="inlineStr">
        <is>
          <t>KVKK SÖZLEŞMESİ</t>
        </is>
      </c>
      <c r="I4" s="22" t="inlineStr">
        <is>
          <t>ISO SERTİFİKASI</t>
        </is>
      </c>
      <c r="J4" s="22" t="inlineStr">
        <is>
          <t>ALTERNATIF VAR MI?</t>
        </is>
      </c>
      <c r="K4" s="22" t="inlineStr">
        <is>
          <t>ANA İLETİŞİM</t>
        </is>
      </c>
      <c r="L4" s="22" t="inlineStr">
        <is>
          <t>SON DEĞERLENDİRME</t>
        </is>
      </c>
      <c r="M4" s="22" t="inlineStr">
        <is>
          <t>NOTLAR</t>
        </is>
      </c>
    </row>
    <row r="5" ht="24" customHeight="1">
      <c r="A5" s="23" t="n">
        <v>1</v>
      </c>
      <c r="B5" s="24" t="inlineStr">
        <is>
          <t>Bulut Altyapı Sağlayıcısı</t>
        </is>
      </c>
      <c r="C5" s="24" t="inlineStr">
        <is>
          <t>BT / Bulut</t>
        </is>
      </c>
      <c r="D5" s="23" t="inlineStr">
        <is>
          <t>ABD</t>
        </is>
      </c>
      <c r="E5" s="23" t="inlineStr">
        <is>
          <t>🔴 KRİTİK</t>
        </is>
      </c>
      <c r="F5" s="24" t="n"/>
      <c r="G5" s="23" t="n"/>
      <c r="H5" s="23" t="n"/>
      <c r="I5" s="23" t="n"/>
      <c r="J5" s="23" t="n"/>
      <c r="K5" s="24" t="n"/>
      <c r="L5" s="23" t="n"/>
      <c r="M5" s="24" t="n"/>
    </row>
    <row r="6" ht="24" customHeight="1">
      <c r="A6" s="25" t="n">
        <v>2</v>
      </c>
      <c r="B6" s="26" t="inlineStr">
        <is>
          <t>ERP Yazılım Firması</t>
        </is>
      </c>
      <c r="C6" s="26" t="inlineStr">
        <is>
          <t>BT / Yazılım</t>
        </is>
      </c>
      <c r="D6" s="25" t="inlineStr">
        <is>
          <t>Türkiye</t>
        </is>
      </c>
      <c r="E6" s="25" t="inlineStr">
        <is>
          <t>🔴 KRİTİK</t>
        </is>
      </c>
      <c r="F6" s="26" t="n"/>
      <c r="G6" s="25" t="n"/>
      <c r="H6" s="25" t="n"/>
      <c r="I6" s="25" t="n"/>
      <c r="J6" s="25" t="n"/>
      <c r="K6" s="26" t="n"/>
      <c r="L6" s="25" t="n"/>
      <c r="M6" s="26" t="n"/>
    </row>
    <row r="7" ht="24" customHeight="1">
      <c r="A7" s="23" t="n">
        <v>3</v>
      </c>
      <c r="B7" s="24" t="inlineStr">
        <is>
          <t>Siber Güvenlik Hizmetleri</t>
        </is>
      </c>
      <c r="C7" s="24" t="inlineStr">
        <is>
          <t>BT / Güvenlik</t>
        </is>
      </c>
      <c r="D7" s="23" t="inlineStr">
        <is>
          <t>Türkiye</t>
        </is>
      </c>
      <c r="E7" s="23" t="inlineStr">
        <is>
          <t>🟠 YÜKSELTİLMİŞ</t>
        </is>
      </c>
      <c r="F7" s="24" t="n"/>
      <c r="G7" s="23" t="n"/>
      <c r="H7" s="23" t="n"/>
      <c r="I7" s="23" t="n"/>
      <c r="J7" s="23" t="n"/>
      <c r="K7" s="24" t="n"/>
      <c r="L7" s="23" t="n"/>
      <c r="M7" s="24" t="n"/>
    </row>
    <row r="8" ht="24" customHeight="1">
      <c r="A8" s="25" t="n">
        <v>4</v>
      </c>
      <c r="B8" s="26" t="inlineStr">
        <is>
          <t>Lojistik &amp; Taşıma</t>
        </is>
      </c>
      <c r="C8" s="26" t="inlineStr">
        <is>
          <t>Lojistik</t>
        </is>
      </c>
      <c r="D8" s="25" t="inlineStr">
        <is>
          <t>Türkiye</t>
        </is>
      </c>
      <c r="E8" s="25" t="inlineStr">
        <is>
          <t>🟠 YÜKSELTİLMİŞ</t>
        </is>
      </c>
      <c r="F8" s="26" t="n"/>
      <c r="G8" s="25" t="n"/>
      <c r="H8" s="25" t="n"/>
      <c r="I8" s="25" t="n"/>
      <c r="J8" s="25" t="n"/>
      <c r="K8" s="26" t="n"/>
      <c r="L8" s="25" t="n"/>
      <c r="M8" s="26" t="n"/>
    </row>
    <row r="9" ht="24" customHeight="1">
      <c r="A9" s="23" t="n">
        <v>5</v>
      </c>
      <c r="B9" s="24" t="inlineStr">
        <is>
          <t>Üretim Hammadde Tedarikçisi</t>
        </is>
      </c>
      <c r="C9" s="24" t="inlineStr">
        <is>
          <t>Üretim</t>
        </is>
      </c>
      <c r="D9" s="23" t="inlineStr">
        <is>
          <t>Türkiye</t>
        </is>
      </c>
      <c r="E9" s="23" t="inlineStr">
        <is>
          <t>🔴 KRİTİK</t>
        </is>
      </c>
      <c r="F9" s="24" t="n"/>
      <c r="G9" s="23" t="n"/>
      <c r="H9" s="23" t="n"/>
      <c r="I9" s="23" t="n"/>
      <c r="J9" s="23" t="n"/>
      <c r="K9" s="24" t="n"/>
      <c r="L9" s="23" t="n"/>
      <c r="M9" s="24" t="n"/>
    </row>
    <row r="10" ht="24" customHeight="1">
      <c r="A10" s="25" t="n">
        <v>6</v>
      </c>
      <c r="B10" s="26" t="inlineStr">
        <is>
          <t>İK &amp; Bordro Hizmetleri</t>
        </is>
      </c>
      <c r="C10" s="26" t="inlineStr">
        <is>
          <t>İnsan Kaynakları</t>
        </is>
      </c>
      <c r="D10" s="25" t="inlineStr">
        <is>
          <t>Türkiye</t>
        </is>
      </c>
      <c r="E10" s="25" t="inlineStr">
        <is>
          <t>🟠 YÜKSELTİLMİŞ</t>
        </is>
      </c>
      <c r="F10" s="26" t="n"/>
      <c r="G10" s="25" t="n"/>
      <c r="H10" s="25" t="n"/>
      <c r="I10" s="25" t="n"/>
      <c r="J10" s="25" t="n"/>
      <c r="K10" s="26" t="n"/>
      <c r="L10" s="25" t="n"/>
      <c r="M10" s="26" t="n"/>
    </row>
    <row r="11" ht="24" customHeight="1">
      <c r="A11" s="23" t="n">
        <v>7</v>
      </c>
      <c r="B11" s="24" t="inlineStr">
        <is>
          <t>Hukuk Danışmanlığı</t>
        </is>
      </c>
      <c r="C11" s="24" t="inlineStr">
        <is>
          <t>Danışmanlık</t>
        </is>
      </c>
      <c r="D11" s="23" t="inlineStr">
        <is>
          <t>Türkiye</t>
        </is>
      </c>
      <c r="E11" s="23" t="inlineStr">
        <is>
          <t>🟢 STANDART</t>
        </is>
      </c>
      <c r="F11" s="24" t="n"/>
      <c r="G11" s="23" t="n"/>
      <c r="H11" s="23" t="n"/>
      <c r="I11" s="23" t="n"/>
      <c r="J11" s="23" t="n"/>
      <c r="K11" s="24" t="n"/>
      <c r="L11" s="23" t="n"/>
      <c r="M11" s="24" t="n"/>
    </row>
    <row r="12" ht="24" customHeight="1">
      <c r="A12" s="25" t="n">
        <v>8</v>
      </c>
      <c r="B12" s="26" t="inlineStr">
        <is>
          <t>Ofis Malzeme Tedarikçisi</t>
        </is>
      </c>
      <c r="C12" s="26" t="inlineStr">
        <is>
          <t>Genel Hizmetler</t>
        </is>
      </c>
      <c r="D12" s="25" t="inlineStr">
        <is>
          <t>Türkiye</t>
        </is>
      </c>
      <c r="E12" s="25" t="inlineStr">
        <is>
          <t>🟢 STANDART</t>
        </is>
      </c>
      <c r="F12" s="26" t="n"/>
      <c r="G12" s="25" t="n"/>
      <c r="H12" s="25" t="n"/>
      <c r="I12" s="25" t="n"/>
      <c r="J12" s="25" t="n"/>
      <c r="K12" s="26" t="n"/>
      <c r="L12" s="25" t="n"/>
      <c r="M12" s="26" t="n"/>
    </row>
    <row r="13" ht="24" customHeight="1">
      <c r="A13" s="23" t="n">
        <v>9</v>
      </c>
      <c r="B13" s="24" t="n"/>
      <c r="C13" s="24" t="n"/>
      <c r="D13" s="23" t="n"/>
      <c r="E13" s="23" t="n"/>
      <c r="F13" s="24" t="n"/>
      <c r="G13" s="23" t="n"/>
      <c r="H13" s="23" t="n"/>
      <c r="I13" s="23" t="n"/>
      <c r="J13" s="23" t="n"/>
      <c r="K13" s="24" t="n"/>
      <c r="L13" s="23" t="n"/>
      <c r="M13" s="24" t="n"/>
    </row>
    <row r="14" ht="24" customHeight="1">
      <c r="A14" s="25" t="n">
        <v>10</v>
      </c>
      <c r="B14" s="26" t="n"/>
      <c r="C14" s="26" t="n"/>
      <c r="D14" s="25" t="n"/>
      <c r="E14" s="25" t="n"/>
      <c r="F14" s="26" t="n"/>
      <c r="G14" s="25" t="n"/>
      <c r="H14" s="25" t="n"/>
      <c r="I14" s="25" t="n"/>
      <c r="J14" s="25" t="n"/>
      <c r="K14" s="26" t="n"/>
      <c r="L14" s="25" t="n"/>
      <c r="M14" s="26" t="n"/>
    </row>
    <row r="15" ht="24" customHeight="1">
      <c r="A15" s="23" t="n">
        <v>11</v>
      </c>
      <c r="B15" s="24" t="n"/>
      <c r="C15" s="24" t="n"/>
      <c r="D15" s="23" t="n"/>
      <c r="E15" s="23" t="n"/>
      <c r="F15" s="24" t="n"/>
      <c r="G15" s="23" t="n"/>
      <c r="H15" s="23" t="n"/>
      <c r="I15" s="23" t="n"/>
      <c r="J15" s="23" t="n"/>
      <c r="K15" s="24" t="n"/>
      <c r="L15" s="23" t="n"/>
      <c r="M15" s="24" t="n"/>
    </row>
    <row r="16" ht="24" customHeight="1">
      <c r="A16" s="25" t="n">
        <v>12</v>
      </c>
      <c r="B16" s="26" t="n"/>
      <c r="C16" s="26" t="n"/>
      <c r="D16" s="25" t="n"/>
      <c r="E16" s="25" t="n"/>
      <c r="F16" s="26" t="n"/>
      <c r="G16" s="25" t="n"/>
      <c r="H16" s="25" t="n"/>
      <c r="I16" s="25" t="n"/>
      <c r="J16" s="25" t="n"/>
      <c r="K16" s="26" t="n"/>
      <c r="L16" s="25" t="n"/>
      <c r="M16" s="26" t="n"/>
    </row>
    <row r="17" ht="24" customHeight="1">
      <c r="A17" s="23" t="n">
        <v>13</v>
      </c>
      <c r="B17" s="24" t="n"/>
      <c r="C17" s="24" t="n"/>
      <c r="D17" s="23" t="n"/>
      <c r="E17" s="23" t="n"/>
      <c r="F17" s="24" t="n"/>
      <c r="G17" s="23" t="n"/>
      <c r="H17" s="23" t="n"/>
      <c r="I17" s="23" t="n"/>
      <c r="J17" s="23" t="n"/>
      <c r="K17" s="24" t="n"/>
      <c r="L17" s="23" t="n"/>
      <c r="M17" s="24" t="n"/>
    </row>
    <row r="18" ht="24" customHeight="1">
      <c r="A18" s="25" t="n">
        <v>14</v>
      </c>
      <c r="B18" s="26" t="n"/>
      <c r="C18" s="26" t="n"/>
      <c r="D18" s="25" t="n"/>
      <c r="E18" s="25" t="n"/>
      <c r="F18" s="26" t="n"/>
      <c r="G18" s="25" t="n"/>
      <c r="H18" s="25" t="n"/>
      <c r="I18" s="25" t="n"/>
      <c r="J18" s="25" t="n"/>
      <c r="K18" s="26" t="n"/>
      <c r="L18" s="25" t="n"/>
      <c r="M18" s="26" t="n"/>
    </row>
    <row r="19" ht="24" customHeight="1">
      <c r="A19" s="23" t="n">
        <v>15</v>
      </c>
      <c r="B19" s="24" t="n"/>
      <c r="C19" s="24" t="n"/>
      <c r="D19" s="23" t="n"/>
      <c r="E19" s="23" t="n"/>
      <c r="F19" s="24" t="n"/>
      <c r="G19" s="23" t="n"/>
      <c r="H19" s="23" t="n"/>
      <c r="I19" s="23" t="n"/>
      <c r="J19" s="23" t="n"/>
      <c r="K19" s="24" t="n"/>
      <c r="L19" s="23" t="n"/>
      <c r="M19" s="24" t="n"/>
    </row>
    <row r="20" ht="24" customHeight="1">
      <c r="A20" s="25" t="n">
        <v>16</v>
      </c>
      <c r="B20" s="26" t="n"/>
      <c r="C20" s="26" t="n"/>
      <c r="D20" s="25" t="n"/>
      <c r="E20" s="25" t="n"/>
      <c r="F20" s="26" t="n"/>
      <c r="G20" s="25" t="n"/>
      <c r="H20" s="25" t="n"/>
      <c r="I20" s="25" t="n"/>
      <c r="J20" s="25" t="n"/>
      <c r="K20" s="26" t="n"/>
      <c r="L20" s="25" t="n"/>
      <c r="M20" s="26" t="n"/>
    </row>
    <row r="21" ht="24" customHeight="1">
      <c r="A21" s="23" t="n">
        <v>17</v>
      </c>
      <c r="B21" s="24" t="n"/>
      <c r="C21" s="24" t="n"/>
      <c r="D21" s="23" t="n"/>
      <c r="E21" s="23" t="n"/>
      <c r="F21" s="24" t="n"/>
      <c r="G21" s="23" t="n"/>
      <c r="H21" s="23" t="n"/>
      <c r="I21" s="23" t="n"/>
      <c r="J21" s="23" t="n"/>
      <c r="K21" s="24" t="n"/>
      <c r="L21" s="23" t="n"/>
      <c r="M21" s="24" t="n"/>
    </row>
    <row r="22" ht="24" customHeight="1">
      <c r="A22" s="25" t="n">
        <v>18</v>
      </c>
      <c r="B22" s="26" t="n"/>
      <c r="C22" s="26" t="n"/>
      <c r="D22" s="25" t="n"/>
      <c r="E22" s="25" t="n"/>
      <c r="F22" s="26" t="n"/>
      <c r="G22" s="25" t="n"/>
      <c r="H22" s="25" t="n"/>
      <c r="I22" s="25" t="n"/>
      <c r="J22" s="25" t="n"/>
      <c r="K22" s="26" t="n"/>
      <c r="L22" s="25" t="n"/>
      <c r="M22" s="26" t="n"/>
    </row>
    <row r="23" ht="24" customHeight="1">
      <c r="A23" s="23" t="n">
        <v>19</v>
      </c>
      <c r="B23" s="24" t="n"/>
      <c r="C23" s="24" t="n"/>
      <c r="D23" s="23" t="n"/>
      <c r="E23" s="23" t="n"/>
      <c r="F23" s="24" t="n"/>
      <c r="G23" s="23" t="n"/>
      <c r="H23" s="23" t="n"/>
      <c r="I23" s="23" t="n"/>
      <c r="J23" s="23" t="n"/>
      <c r="K23" s="24" t="n"/>
      <c r="L23" s="23" t="n"/>
      <c r="M23" s="24" t="n"/>
    </row>
    <row r="24" ht="24" customHeight="1">
      <c r="A24" s="25" t="n">
        <v>20</v>
      </c>
      <c r="B24" s="26" t="n"/>
      <c r="C24" s="26" t="n"/>
      <c r="D24" s="25" t="n"/>
      <c r="E24" s="25" t="n"/>
      <c r="F24" s="26" t="n"/>
      <c r="G24" s="25" t="n"/>
      <c r="H24" s="25" t="n"/>
      <c r="I24" s="25" t="n"/>
      <c r="J24" s="25" t="n"/>
      <c r="K24" s="26" t="n"/>
      <c r="L24" s="25" t="n"/>
      <c r="M24" s="26" t="n"/>
    </row>
  </sheetData>
  <mergeCells count="2">
    <mergeCell ref="A2:M2"/>
    <mergeCell ref="A1:M1"/>
  </mergeCells>
  <conditionalFormatting sqref="E5:E24">
    <cfRule type="cellIs" priority="1" operator="equal" dxfId="0">
      <formula>"🔴 KRİTİK"</formula>
    </cfRule>
    <cfRule type="cellIs" priority="2" operator="equal" dxfId="1">
      <formula>"🟠 YÜKSELTİLMİŞ"</formula>
    </cfRule>
    <cfRule type="cellIs" priority="3" operator="equal" dxfId="2">
      <formula>"🟢 STANDART"</formula>
    </cfRule>
  </conditionalFormatting>
  <dataValidations count="4">
    <dataValidation sqref="E5 E6 E7 E8 E9 E10 E11 E12 E13 E14 E15 E16 E17 E18 E19 E20 E21 E22 E23 E24" showDropDown="0" showInputMessage="0" showErrorMessage="0" allowBlank="1" type="list">
      <formula1>"🔴 KRİTİK,🟠 YÜKSELTİLMİŞ,🟢 STANDART"</formula1>
    </dataValidation>
    <dataValidation sqref="H5 H6 H7 H8 H9 H10 H11 H12 H13 H14 H15 H16 H17 H18 H19 H20 H21 H22 H23 H24" showDropDown="0" showInputMessage="0" showErrorMessage="0" allowBlank="1" type="list">
      <formula1>"✅ Evet,❌ Hayır,⚠️ Beklemede"</formula1>
    </dataValidation>
    <dataValidation sqref="I5 I6 I7 I8 I9 I10 I11 I12 I13 I14 I15 I16 I17 I18 I19 I20 I21 I22 I23 I24" showDropDown="0" showInputMessage="0" showErrorMessage="0" allowBlank="1" type="list">
      <formula1>"ISO 27001,ISO 9001,ISO 28000,ISO 20400,Yok,Diğer"</formula1>
    </dataValidation>
    <dataValidation sqref="J5 J6 J7 J8 J9 J10 J11 J12 J13 J14 J15 J16 J17 J18 J19 J20 J21 J22 J23 J24" showDropDown="0" showInputMessage="0" showErrorMessage="0" allowBlank="1" type="list">
      <formula1>"✅ Evet,❌ Hayır,🔍 Araştırılıyor"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14" customWidth="1" min="3" max="3"/>
    <col width="14" customWidth="1" min="4" max="4"/>
    <col width="14" customWidth="1" min="5" max="5"/>
    <col width="14" customWidth="1" min="6" max="6"/>
    <col width="14" customWidth="1" min="7" max="7"/>
    <col width="14" customWidth="1" min="8" max="8"/>
    <col width="12" customWidth="1" min="9" max="9"/>
    <col width="14" customWidth="1" min="10" max="10"/>
    <col width="12" customWidth="1" min="11" max="11"/>
    <col width="28" customWidth="1" min="12" max="12"/>
  </cols>
  <sheetData>
    <row r="1">
      <c r="A1" s="21" t="inlineStr">
        <is>
          <t>THE GOVERNANCE  ·  TEDARİKÇİ RİSK PUANLAMA MATRİSİ</t>
        </is>
      </c>
    </row>
    <row r="2">
      <c r="A2" s="3" t="inlineStr">
        <is>
          <t>Her kategori için 1 (En Düşük) — 5 (En Yüksek) arasında puan girin  ·  Toplam risk skoru ve seviyesi otomatik hesaplanır</t>
        </is>
      </c>
    </row>
    <row r="3" ht="6" customHeight="1"/>
    <row r="4" ht="38" customHeight="1">
      <c r="A4" s="27" t="inlineStr">
        <is>
          <t>#</t>
        </is>
      </c>
      <c r="B4" s="27" t="inlineStr">
        <is>
          <t>TEDARİKÇİ</t>
        </is>
      </c>
      <c r="C4" s="27" t="inlineStr">
        <is>
          <t>SINIF</t>
        </is>
      </c>
      <c r="D4" s="27" t="inlineStr">
        <is>
          <t>FİNANSAL RİSK
(20%)</t>
        </is>
      </c>
      <c r="E4" s="27" t="inlineStr">
        <is>
          <t>OPERASYONEL RİSK
(25%)</t>
        </is>
      </c>
      <c r="F4" s="27" t="inlineStr">
        <is>
          <t>SİBER GÜVENLİK
(20%)</t>
        </is>
      </c>
      <c r="G4" s="27" t="inlineStr">
        <is>
          <t>UYUM &amp; HUKUK
(15%)</t>
        </is>
      </c>
      <c r="H4" s="27" t="inlineStr">
        <is>
          <t>JEOPOLİTİK &amp; ÜLKE
(10%)</t>
        </is>
      </c>
      <c r="I4" s="27" t="inlineStr">
        <is>
          <t>ESG &amp; SÜRD.
(10%)</t>
        </is>
      </c>
      <c r="J4" s="27" t="inlineStr">
        <is>
          <t>AĞIRLIKLI
SKOR</t>
        </is>
      </c>
      <c r="K4" s="27" t="inlineStr">
        <is>
          <t>RİSK
SEVİYESİ</t>
        </is>
      </c>
      <c r="L4" s="27" t="inlineStr">
        <is>
          <t>ÖNCELİK
SIRASI</t>
        </is>
      </c>
    </row>
    <row r="5" ht="30" customHeight="1">
      <c r="A5" s="23" t="n">
        <v>1</v>
      </c>
      <c r="B5" s="24" t="n"/>
      <c r="C5" s="23" t="n"/>
      <c r="D5" s="23" t="n"/>
      <c r="E5" s="23" t="n"/>
      <c r="F5" s="23" t="n"/>
      <c r="G5" s="23" t="n"/>
      <c r="H5" s="23" t="n"/>
      <c r="I5" s="23" t="n"/>
      <c r="J5" s="28">
        <f>IFERROR(ROUND(D5*0.2+E5*0.25+F5*0.2+G5*0.15+H5*0.1+I5*0.1,2),"")</f>
        <v/>
      </c>
      <c r="K5" s="29">
        <f>IFERROR(IF(J5=""," ",IF(J5&lt;=2,"🟢 Düşük",IF(J5&lt;=3,"🟡 Orta",IF(J5&lt;=4,"🟠 Yüksek","🔴 Kritik"))))," ")</f>
        <v/>
      </c>
      <c r="L5" s="24" t="n"/>
    </row>
    <row r="6" ht="30" customHeight="1">
      <c r="A6" s="25" t="n">
        <v>2</v>
      </c>
      <c r="B6" s="26" t="n"/>
      <c r="C6" s="25" t="n"/>
      <c r="D6" s="25" t="n"/>
      <c r="E6" s="25" t="n"/>
      <c r="F6" s="25" t="n"/>
      <c r="G6" s="25" t="n"/>
      <c r="H6" s="25" t="n"/>
      <c r="I6" s="25" t="n"/>
      <c r="J6" s="30">
        <f>IFERROR(ROUND(D6*0.2+E6*0.25+F6*0.2+G6*0.15+H6*0.1+I6*0.1,2),"")</f>
        <v/>
      </c>
      <c r="K6" s="31">
        <f>IFERROR(IF(J6=""," ",IF(J6&lt;=2,"🟢 Düşük",IF(J6&lt;=3,"🟡 Orta",IF(J6&lt;=4,"🟠 Yüksek","🔴 Kritik"))))," ")</f>
        <v/>
      </c>
      <c r="L6" s="26" t="n"/>
    </row>
    <row r="7" ht="30" customHeight="1">
      <c r="A7" s="23" t="n">
        <v>3</v>
      </c>
      <c r="B7" s="24" t="n"/>
      <c r="C7" s="23" t="n"/>
      <c r="D7" s="23" t="n"/>
      <c r="E7" s="23" t="n"/>
      <c r="F7" s="23" t="n"/>
      <c r="G7" s="23" t="n"/>
      <c r="H7" s="23" t="n"/>
      <c r="I7" s="23" t="n"/>
      <c r="J7" s="28">
        <f>IFERROR(ROUND(D7*0.2+E7*0.25+F7*0.2+G7*0.15+H7*0.1+I7*0.1,2),"")</f>
        <v/>
      </c>
      <c r="K7" s="29">
        <f>IFERROR(IF(J7=""," ",IF(J7&lt;=2,"🟢 Düşük",IF(J7&lt;=3,"🟡 Orta",IF(J7&lt;=4,"🟠 Yüksek","🔴 Kritik"))))," ")</f>
        <v/>
      </c>
      <c r="L7" s="24" t="n"/>
    </row>
    <row r="8" ht="30" customHeight="1">
      <c r="A8" s="25" t="n">
        <v>4</v>
      </c>
      <c r="B8" s="26" t="n"/>
      <c r="C8" s="25" t="n"/>
      <c r="D8" s="25" t="n"/>
      <c r="E8" s="25" t="n"/>
      <c r="F8" s="25" t="n"/>
      <c r="G8" s="25" t="n"/>
      <c r="H8" s="25" t="n"/>
      <c r="I8" s="25" t="n"/>
      <c r="J8" s="30">
        <f>IFERROR(ROUND(D8*0.2+E8*0.25+F8*0.2+G8*0.15+H8*0.1+I8*0.1,2),"")</f>
        <v/>
      </c>
      <c r="K8" s="31">
        <f>IFERROR(IF(J8=""," ",IF(J8&lt;=2,"🟢 Düşük",IF(J8&lt;=3,"🟡 Orta",IF(J8&lt;=4,"🟠 Yüksek","🔴 Kritik"))))," ")</f>
        <v/>
      </c>
      <c r="L8" s="26" t="n"/>
    </row>
    <row r="9" ht="30" customHeight="1">
      <c r="A9" s="23" t="n">
        <v>5</v>
      </c>
      <c r="B9" s="24" t="n"/>
      <c r="C9" s="23" t="n"/>
      <c r="D9" s="23" t="n"/>
      <c r="E9" s="23" t="n"/>
      <c r="F9" s="23" t="n"/>
      <c r="G9" s="23" t="n"/>
      <c r="H9" s="23" t="n"/>
      <c r="I9" s="23" t="n"/>
      <c r="J9" s="28">
        <f>IFERROR(ROUND(D9*0.2+E9*0.25+F9*0.2+G9*0.15+H9*0.1+I9*0.1,2),"")</f>
        <v/>
      </c>
      <c r="K9" s="29">
        <f>IFERROR(IF(J9=""," ",IF(J9&lt;=2,"🟢 Düşük",IF(J9&lt;=3,"🟡 Orta",IF(J9&lt;=4,"🟠 Yüksek","🔴 Kritik"))))," ")</f>
        <v/>
      </c>
      <c r="L9" s="24" t="n"/>
    </row>
    <row r="10" ht="30" customHeight="1">
      <c r="A10" s="25" t="n">
        <v>6</v>
      </c>
      <c r="B10" s="26" t="n"/>
      <c r="C10" s="25" t="n"/>
      <c r="D10" s="25" t="n"/>
      <c r="E10" s="25" t="n"/>
      <c r="F10" s="25" t="n"/>
      <c r="G10" s="25" t="n"/>
      <c r="H10" s="25" t="n"/>
      <c r="I10" s="25" t="n"/>
      <c r="J10" s="30">
        <f>IFERROR(ROUND(D10*0.2+E10*0.25+F10*0.2+G10*0.15+H10*0.1+I10*0.1,2),"")</f>
        <v/>
      </c>
      <c r="K10" s="31">
        <f>IFERROR(IF(J10=""," ",IF(J10&lt;=2,"🟢 Düşük",IF(J10&lt;=3,"🟡 Orta",IF(J10&lt;=4,"🟠 Yüksek","🔴 Kritik"))))," ")</f>
        <v/>
      </c>
      <c r="L10" s="26" t="n"/>
    </row>
    <row r="11" ht="30" customHeight="1">
      <c r="A11" s="23" t="n">
        <v>7</v>
      </c>
      <c r="B11" s="24" t="n"/>
      <c r="C11" s="23" t="n"/>
      <c r="D11" s="23" t="n"/>
      <c r="E11" s="23" t="n"/>
      <c r="F11" s="23" t="n"/>
      <c r="G11" s="23" t="n"/>
      <c r="H11" s="23" t="n"/>
      <c r="I11" s="23" t="n"/>
      <c r="J11" s="28">
        <f>IFERROR(ROUND(D11*0.2+E11*0.25+F11*0.2+G11*0.15+H11*0.1+I11*0.1,2),"")</f>
        <v/>
      </c>
      <c r="K11" s="29">
        <f>IFERROR(IF(J11=""," ",IF(J11&lt;=2,"🟢 Düşük",IF(J11&lt;=3,"🟡 Orta",IF(J11&lt;=4,"🟠 Yüksek","🔴 Kritik"))))," ")</f>
        <v/>
      </c>
      <c r="L11" s="24" t="n"/>
    </row>
    <row r="12" ht="30" customHeight="1">
      <c r="A12" s="25" t="n">
        <v>8</v>
      </c>
      <c r="B12" s="26" t="n"/>
      <c r="C12" s="25" t="n"/>
      <c r="D12" s="25" t="n"/>
      <c r="E12" s="25" t="n"/>
      <c r="F12" s="25" t="n"/>
      <c r="G12" s="25" t="n"/>
      <c r="H12" s="25" t="n"/>
      <c r="I12" s="25" t="n"/>
      <c r="J12" s="30">
        <f>IFERROR(ROUND(D12*0.2+E12*0.25+F12*0.2+G12*0.15+H12*0.1+I12*0.1,2),"")</f>
        <v/>
      </c>
      <c r="K12" s="31">
        <f>IFERROR(IF(J12=""," ",IF(J12&lt;=2,"🟢 Düşük",IF(J12&lt;=3,"🟡 Orta",IF(J12&lt;=4,"🟠 Yüksek","🔴 Kritik"))))," ")</f>
        <v/>
      </c>
      <c r="L12" s="26" t="n"/>
    </row>
    <row r="13" ht="30" customHeight="1">
      <c r="A13" s="23" t="n">
        <v>9</v>
      </c>
      <c r="B13" s="24" t="n"/>
      <c r="C13" s="23" t="n"/>
      <c r="D13" s="23" t="n"/>
      <c r="E13" s="23" t="n"/>
      <c r="F13" s="23" t="n"/>
      <c r="G13" s="23" t="n"/>
      <c r="H13" s="23" t="n"/>
      <c r="I13" s="23" t="n"/>
      <c r="J13" s="28">
        <f>IFERROR(ROUND(D13*0.2+E13*0.25+F13*0.2+G13*0.15+H13*0.1+I13*0.1,2),"")</f>
        <v/>
      </c>
      <c r="K13" s="29">
        <f>IFERROR(IF(J13=""," ",IF(J13&lt;=2,"🟢 Düşük",IF(J13&lt;=3,"🟡 Orta",IF(J13&lt;=4,"🟠 Yüksek","🔴 Kritik"))))," ")</f>
        <v/>
      </c>
      <c r="L13" s="24" t="n"/>
    </row>
    <row r="14" ht="30" customHeight="1">
      <c r="A14" s="25" t="n">
        <v>10</v>
      </c>
      <c r="B14" s="26" t="n"/>
      <c r="C14" s="25" t="n"/>
      <c r="D14" s="25" t="n"/>
      <c r="E14" s="25" t="n"/>
      <c r="F14" s="25" t="n"/>
      <c r="G14" s="25" t="n"/>
      <c r="H14" s="25" t="n"/>
      <c r="I14" s="25" t="n"/>
      <c r="J14" s="30">
        <f>IFERROR(ROUND(D14*0.2+E14*0.25+F14*0.2+G14*0.15+H14*0.1+I14*0.1,2),"")</f>
        <v/>
      </c>
      <c r="K14" s="31">
        <f>IFERROR(IF(J14=""," ",IF(J14&lt;=2,"🟢 Düşük",IF(J14&lt;=3,"🟡 Orta",IF(J14&lt;=4,"🟠 Yüksek","🔴 Kritik"))))," ")</f>
        <v/>
      </c>
      <c r="L14" s="26" t="n"/>
    </row>
    <row r="15" ht="30" customHeight="1">
      <c r="A15" s="23" t="n">
        <v>11</v>
      </c>
      <c r="B15" s="24" t="n"/>
      <c r="C15" s="23" t="n"/>
      <c r="D15" s="23" t="n"/>
      <c r="E15" s="23" t="n"/>
      <c r="F15" s="23" t="n"/>
      <c r="G15" s="23" t="n"/>
      <c r="H15" s="23" t="n"/>
      <c r="I15" s="23" t="n"/>
      <c r="J15" s="28">
        <f>IFERROR(ROUND(D15*0.2+E15*0.25+F15*0.2+G15*0.15+H15*0.1+I15*0.1,2),"")</f>
        <v/>
      </c>
      <c r="K15" s="29">
        <f>IFERROR(IF(J15=""," ",IF(J15&lt;=2,"🟢 Düşük",IF(J15&lt;=3,"🟡 Orta",IF(J15&lt;=4,"🟠 Yüksek","🔴 Kritik"))))," ")</f>
        <v/>
      </c>
      <c r="L15" s="24" t="n"/>
    </row>
    <row r="16" ht="30" customHeight="1">
      <c r="A16" s="25" t="n">
        <v>12</v>
      </c>
      <c r="B16" s="26" t="n"/>
      <c r="C16" s="25" t="n"/>
      <c r="D16" s="25" t="n"/>
      <c r="E16" s="25" t="n"/>
      <c r="F16" s="25" t="n"/>
      <c r="G16" s="25" t="n"/>
      <c r="H16" s="25" t="n"/>
      <c r="I16" s="25" t="n"/>
      <c r="J16" s="30">
        <f>IFERROR(ROUND(D16*0.2+E16*0.25+F16*0.2+G16*0.15+H16*0.1+I16*0.1,2),"")</f>
        <v/>
      </c>
      <c r="K16" s="31">
        <f>IFERROR(IF(J16=""," ",IF(J16&lt;=2,"🟢 Düşük",IF(J16&lt;=3,"🟡 Orta",IF(J16&lt;=4,"🟠 Yüksek","🔴 Kritik"))))," ")</f>
        <v/>
      </c>
      <c r="L16" s="26" t="n"/>
    </row>
    <row r="17" ht="30" customHeight="1">
      <c r="A17" s="23" t="n">
        <v>13</v>
      </c>
      <c r="B17" s="24" t="n"/>
      <c r="C17" s="23" t="n"/>
      <c r="D17" s="23" t="n"/>
      <c r="E17" s="23" t="n"/>
      <c r="F17" s="23" t="n"/>
      <c r="G17" s="23" t="n"/>
      <c r="H17" s="23" t="n"/>
      <c r="I17" s="23" t="n"/>
      <c r="J17" s="28">
        <f>IFERROR(ROUND(D17*0.2+E17*0.25+F17*0.2+G17*0.15+H17*0.1+I17*0.1,2),"")</f>
        <v/>
      </c>
      <c r="K17" s="29">
        <f>IFERROR(IF(J17=""," ",IF(J17&lt;=2,"🟢 Düşük",IF(J17&lt;=3,"🟡 Orta",IF(J17&lt;=4,"🟠 Yüksek","🔴 Kritik"))))," ")</f>
        <v/>
      </c>
      <c r="L17" s="24" t="n"/>
    </row>
    <row r="18" ht="30" customHeight="1">
      <c r="A18" s="25" t="n">
        <v>14</v>
      </c>
      <c r="B18" s="26" t="n"/>
      <c r="C18" s="25" t="n"/>
      <c r="D18" s="25" t="n"/>
      <c r="E18" s="25" t="n"/>
      <c r="F18" s="25" t="n"/>
      <c r="G18" s="25" t="n"/>
      <c r="H18" s="25" t="n"/>
      <c r="I18" s="25" t="n"/>
      <c r="J18" s="30">
        <f>IFERROR(ROUND(D18*0.2+E18*0.25+F18*0.2+G18*0.15+H18*0.1+I18*0.1,2),"")</f>
        <v/>
      </c>
      <c r="K18" s="31">
        <f>IFERROR(IF(J18=""," ",IF(J18&lt;=2,"🟢 Düşük",IF(J18&lt;=3,"🟡 Orta",IF(J18&lt;=4,"🟠 Yüksek","🔴 Kritik"))))," ")</f>
        <v/>
      </c>
      <c r="L18" s="26" t="n"/>
    </row>
    <row r="19" ht="30" customHeight="1">
      <c r="A19" s="23" t="n">
        <v>15</v>
      </c>
      <c r="B19" s="24" t="n"/>
      <c r="C19" s="23" t="n"/>
      <c r="D19" s="23" t="n"/>
      <c r="E19" s="23" t="n"/>
      <c r="F19" s="23" t="n"/>
      <c r="G19" s="23" t="n"/>
      <c r="H19" s="23" t="n"/>
      <c r="I19" s="23" t="n"/>
      <c r="J19" s="28">
        <f>IFERROR(ROUND(D19*0.2+E19*0.25+F19*0.2+G19*0.15+H19*0.1+I19*0.1,2),"")</f>
        <v/>
      </c>
      <c r="K19" s="29">
        <f>IFERROR(IF(J19=""," ",IF(J19&lt;=2,"🟢 Düşük",IF(J19&lt;=3,"🟡 Orta",IF(J19&lt;=4,"🟠 Yüksek","🔴 Kritik"))))," ")</f>
        <v/>
      </c>
      <c r="L19" s="24" t="n"/>
    </row>
    <row r="22">
      <c r="A22" s="32" t="inlineStr">
        <is>
          <t>PUANLAMA KILAVUZU — Her kategori için 1-5 arası puan anlamı</t>
        </is>
      </c>
    </row>
    <row r="23" ht="28" customHeight="1">
      <c r="A23" s="33" t="inlineStr">
        <is>
          <t>PUAN</t>
        </is>
      </c>
      <c r="B23" s="33" t="inlineStr">
        <is>
          <t>FİNANSAL RİSK</t>
        </is>
      </c>
      <c r="C23" s="33" t="inlineStr">
        <is>
          <t>OPERASYONEL RİSK</t>
        </is>
      </c>
      <c r="D23" s="33" t="inlineStr">
        <is>
          <t>SİBER GÜVENLİK</t>
        </is>
      </c>
      <c r="E23" s="33" t="inlineStr">
        <is>
          <t>UYUM &amp; HUKUK</t>
        </is>
      </c>
      <c r="F23" s="33" t="inlineStr">
        <is>
          <t>JEOPOLİTİK</t>
        </is>
      </c>
      <c r="G23" s="33" t="inlineStr">
        <is>
          <t>ESG</t>
        </is>
      </c>
    </row>
    <row r="24" ht="28" customHeight="1">
      <c r="A24" s="34" t="inlineStr">
        <is>
          <t>1 — Çok Düşük</t>
        </is>
      </c>
      <c r="B24" s="34" t="inlineStr">
        <is>
          <t>Güçlü finansal yapı, A kredi notu</t>
        </is>
      </c>
      <c r="C24" s="34" t="inlineStr">
        <is>
          <t>Mükemmel teslimat sicili, yedekli kapasite</t>
        </is>
      </c>
      <c r="D24" s="34" t="inlineStr">
        <is>
          <t>ISO 27001 sertifikalı, olgun güvenlik</t>
        </is>
      </c>
      <c r="E24" s="34" t="inlineStr">
        <is>
          <t>Tam uyumlu, sertifikalı</t>
        </is>
      </c>
      <c r="F24" s="34" t="inlineStr">
        <is>
          <t>İstikrarlı ülke, düşük risk</t>
        </is>
      </c>
      <c r="G24" s="34" t="inlineStr">
        <is>
          <t>Güçlü ESG politikaları</t>
        </is>
      </c>
    </row>
    <row r="25" ht="28" customHeight="1">
      <c r="A25" s="35" t="inlineStr">
        <is>
          <t>2 — Düşük</t>
        </is>
      </c>
      <c r="B25" s="35" t="inlineStr">
        <is>
          <t>İyi finansal durum, istikrarlı</t>
        </is>
      </c>
      <c r="C25" s="35" t="inlineStr">
        <is>
          <t>Güvenilir, nadiren gecikme</t>
        </is>
      </c>
      <c r="D25" s="35" t="inlineStr">
        <is>
          <t>Temel güvenlik önlemleri mevcut</t>
        </is>
      </c>
      <c r="E25" s="35" t="inlineStr">
        <is>
          <t>Büyük ölçüde uyumlu</t>
        </is>
      </c>
      <c r="F25" s="35" t="inlineStr">
        <is>
          <t>Düşük-orta ülke riski</t>
        </is>
      </c>
      <c r="G25" s="35" t="inlineStr">
        <is>
          <t>Temel ESG uygulamaları</t>
        </is>
      </c>
    </row>
    <row r="26" ht="28" customHeight="1">
      <c r="A26" s="34" t="inlineStr">
        <is>
          <t>3 — Orta</t>
        </is>
      </c>
      <c r="B26" s="34" t="inlineStr">
        <is>
          <t>Orta finansal durum, izleme gerekir</t>
        </is>
      </c>
      <c r="C26" s="34" t="inlineStr">
        <is>
          <t>Zaman zaman gecikme/sorun yaşıyor</t>
        </is>
      </c>
      <c r="D26" s="34" t="inlineStr">
        <is>
          <t>Bazı güvenlik boşlukları var</t>
        </is>
      </c>
      <c r="E26" s="34" t="inlineStr">
        <is>
          <t>Kısmen uyumlu, gap mevcut</t>
        </is>
      </c>
      <c r="F26" s="34" t="inlineStr">
        <is>
          <t>Orta düzey ülke riski</t>
        </is>
      </c>
      <c r="G26" s="34" t="inlineStr">
        <is>
          <t>Sınırlı ESG farkındalığı</t>
        </is>
      </c>
    </row>
    <row r="27" ht="28" customHeight="1">
      <c r="A27" s="35" t="inlineStr">
        <is>
          <t>4 — Yüksek</t>
        </is>
      </c>
      <c r="B27" s="35" t="inlineStr">
        <is>
          <t>Zayıf finansal durum, borç yükü var</t>
        </is>
      </c>
      <c r="C27" s="35" t="inlineStr">
        <is>
          <t>Sık gecikme, kapasite sorunları</t>
        </is>
      </c>
      <c r="D27" s="35" t="inlineStr">
        <is>
          <t>Önemli güvenlik açıkları</t>
        </is>
      </c>
      <c r="E27" s="35" t="inlineStr">
        <is>
          <t>Uyum eksiklikleri ciddi</t>
        </is>
      </c>
      <c r="F27" s="35" t="inlineStr">
        <is>
          <t>Yüksek ülke riski</t>
        </is>
      </c>
      <c r="G27" s="35" t="inlineStr">
        <is>
          <t>ESG ihlalleri var</t>
        </is>
      </c>
    </row>
    <row r="28" ht="28" customHeight="1">
      <c r="A28" s="34" t="inlineStr">
        <is>
          <t>5 — Kritik</t>
        </is>
      </c>
      <c r="B28" s="34" t="inlineStr">
        <is>
          <t>Ciddi finansal sıkıntı, iflas riski</t>
        </is>
      </c>
      <c r="C28" s="34" t="inlineStr">
        <is>
          <t>Hizmet sürekliliği tehdit altında</t>
        </is>
      </c>
      <c r="D28" s="34" t="inlineStr">
        <is>
          <t>Geçmiş ihlal, ihmal seviyesinde</t>
        </is>
      </c>
      <c r="E28" s="34" t="inlineStr">
        <is>
          <t>Ciddi yasal ihlaller</t>
        </is>
      </c>
      <c r="F28" s="34" t="inlineStr">
        <is>
          <t>Çok yüksek ülke/döviz riski</t>
        </is>
      </c>
      <c r="G28" s="34" t="inlineStr">
        <is>
          <t>Ciddi ESG ihlalleri</t>
        </is>
      </c>
    </row>
  </sheetData>
  <mergeCells count="3">
    <mergeCell ref="A2:Q2"/>
    <mergeCell ref="A1:Q1"/>
    <mergeCell ref="A22:L22"/>
  </mergeCells>
  <conditionalFormatting sqref="K5:K19">
    <cfRule type="cellIs" priority="1" operator="equal" dxfId="0">
      <formula>"🔴 Kritik"</formula>
    </cfRule>
    <cfRule type="cellIs" priority="2" operator="equal" dxfId="1">
      <formula>"🟠 Yüksek"</formula>
    </cfRule>
    <cfRule type="cellIs" priority="3" operator="equal" dxfId="3">
      <formula>"🟡 Orta"</formula>
    </cfRule>
    <cfRule type="cellIs" priority="4" operator="equal" dxfId="2">
      <formula>"🟢 Düşük"</formula>
    </cfRule>
  </conditionalFormatting>
  <dataValidations count="2">
    <dataValidation sqref="D5 D6 D7 D8 D9 D10 D11 D12 D13 D14 D15 D16 D17 D18 D19 E5 E6 E7 E8 E9 E10 E11 E12 E13 E14 E15 E16 E17 E18 E19 F5 F6 F7 F8 F9 F10 F11 F12 F13 F14 F15 F16 F17 F18 F19 G5 G6 G7 G8 G9 G10 G11 G12 G13 G14 G15 G16 G17 G18 G19 H5 H6 H7 H8 H9 H10 H11 H12 H13 H14 H15 H16 H17 H18 H19 I5 I6 I7 I8 I9 I10 I11 I12 I13 I14 I15 I16 I17 I18 I19" showDropDown="0" showInputMessage="0" showErrorMessage="0" allowBlank="1" type="list">
      <formula1>"1,2,3,4,5"</formula1>
    </dataValidation>
    <dataValidation sqref="C5 C6 C7 C8 C9 C10 C11 C12 C13 C14 C15 C16 C17 C18 C19" showDropDown="0" showInputMessage="0" showErrorMessage="0" allowBlank="1" type="list">
      <formula1>"🔴 KRİTİK,🟠 YÜKSELTİLMİŞ,🟢 STANDART"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4"/>
  <sheetViews>
    <sheetView showGridLines="0" workbookViewId="0">
      <selection activeCell="A1" sqref="A1"/>
    </sheetView>
  </sheetViews>
  <sheetFormatPr baseColWidth="8" defaultRowHeight="15"/>
  <cols>
    <col width="8" customWidth="1" min="1" max="1"/>
    <col width="8" customWidth="1" min="2" max="2"/>
    <col width="8" customWidth="1" min="3" max="3"/>
    <col width="8" customWidth="1" min="4" max="4"/>
    <col width="4" customWidth="1" min="5" max="5"/>
    <col width="28" customWidth="1" min="6" max="6"/>
    <col width="10" customWidth="1" min="7" max="7"/>
    <col width="14" customWidth="1" min="8" max="8"/>
    <col width="12" customWidth="1" min="9" max="9"/>
    <col width="8" customWidth="1" min="10" max="10"/>
    <col width="8" customWidth="1" min="11" max="11"/>
    <col width="8" customWidth="1" min="12" max="12"/>
  </cols>
  <sheetData>
    <row r="1">
      <c r="A1" s="21" t="inlineStr">
        <is>
          <t>THE GOVERNANCE  ·  TEDARİKÇİ RİSK PORTFÖY PANELİ</t>
        </is>
      </c>
    </row>
    <row r="2">
      <c r="A2" s="3" t="inlineStr">
        <is>
          <t>Risk Değerlendirme sekmesindeki puanlar buraya otomatik yansır</t>
        </is>
      </c>
    </row>
    <row r="3" ht="10" customHeight="1">
      <c r="A3" s="5" t="n"/>
      <c r="B3" s="5" t="n"/>
      <c r="C3" s="5" t="n"/>
      <c r="D3" s="5" t="n"/>
      <c r="E3" s="5" t="n"/>
      <c r="F3" s="5" t="n"/>
      <c r="G3" s="5" t="n"/>
      <c r="H3" s="5" t="n"/>
      <c r="I3" s="5" t="n"/>
      <c r="J3" s="5" t="n"/>
      <c r="K3" s="5" t="n"/>
      <c r="L3" s="5" t="n"/>
    </row>
    <row r="4" ht="22" customHeight="1">
      <c r="A4" s="36" t="inlineStr">
        <is>
          <t>TOPLAM TEDARİKÇİ</t>
        </is>
      </c>
      <c r="C4" s="5" t="n"/>
      <c r="D4" s="11" t="inlineStr">
        <is>
          <t>🔴 KRİTİK RİSK</t>
        </is>
      </c>
      <c r="F4" s="5" t="n"/>
      <c r="G4" s="13" t="inlineStr">
        <is>
          <t>🟠 YÜKSEK RİSK</t>
        </is>
      </c>
      <c r="I4" s="5" t="n"/>
      <c r="J4" s="15" t="inlineStr">
        <is>
          <t>🟢 DÜŞÜK/ORTA</t>
        </is>
      </c>
      <c r="L4" s="5" t="n"/>
    </row>
    <row r="5" ht="30" customHeight="1">
      <c r="A5" s="37">
        <f>COUNTA('⚠️ Risk Değerlendirme'!B5:B19)</f>
        <v/>
      </c>
      <c r="C5" s="5" t="n"/>
      <c r="D5" s="38">
        <f>COUNTIF('⚠️ Risk Değerlendirme'!K5:K19,"🔴 Kritik")</f>
        <v/>
      </c>
      <c r="F5" s="5" t="n"/>
      <c r="G5" s="39">
        <f>COUNTIF('⚠️ Risk Değerlendirme'!K5:K19,"🟠 Yüksek")</f>
        <v/>
      </c>
      <c r="I5" s="5" t="n"/>
      <c r="J5" s="40">
        <f>COUNTIF('⚠️ Risk Değerlendirme'!K5:K19,"🟢 Düşük")+COUNTIF('⚠️ Risk Değerlendirme'!K5:K19,"🟡 Orta")</f>
        <v/>
      </c>
      <c r="L5" s="5" t="n"/>
    </row>
    <row r="6" ht="30" customHeight="1">
      <c r="C6" s="5" t="n"/>
      <c r="F6" s="5" t="n"/>
      <c r="I6" s="5" t="n"/>
      <c r="L6" s="5" t="n"/>
    </row>
    <row r="7">
      <c r="A7" s="5" t="n"/>
      <c r="B7" s="5" t="n"/>
      <c r="C7" s="5" t="n"/>
      <c r="D7" s="5" t="n"/>
      <c r="E7" s="5" t="n"/>
      <c r="F7" s="5" t="n"/>
      <c r="G7" s="5" t="n"/>
      <c r="H7" s="5" t="n"/>
      <c r="I7" s="5" t="n"/>
      <c r="J7" s="5" t="n"/>
      <c r="K7" s="5" t="n"/>
      <c r="L7" s="5" t="n"/>
    </row>
    <row r="8" ht="10" customHeight="1">
      <c r="A8" s="5" t="n"/>
      <c r="B8" s="5" t="n"/>
      <c r="C8" s="5" t="n"/>
      <c r="D8" s="5" t="n"/>
      <c r="E8" s="5" t="n"/>
      <c r="F8" s="5" t="n"/>
      <c r="G8" s="5" t="n"/>
      <c r="H8" s="5" t="n"/>
      <c r="I8" s="5" t="n"/>
      <c r="J8" s="5" t="n"/>
      <c r="K8" s="5" t="n"/>
      <c r="L8" s="5" t="n"/>
    </row>
    <row r="9">
      <c r="A9" s="41" t="inlineStr">
        <is>
          <t>PORTFÖY ORT. RİSK SKORU</t>
        </is>
      </c>
      <c r="E9" s="5" t="n"/>
      <c r="F9" s="10" t="inlineStr">
        <is>
          <t>EN YÜKSEK RİSKLİ TEDARİKÇİLER (İlk 5)</t>
        </is>
      </c>
    </row>
    <row r="10">
      <c r="A10" s="42">
        <f>IFERROR(TEXT(AVERAGE('⚠️ Risk Değerlendirme'!J5:J19),"0.00"),"—")</f>
        <v/>
      </c>
      <c r="E10" s="5" t="n"/>
      <c r="F10" s="43" t="inlineStr">
        <is>
          <t>TEDARİKÇİ</t>
        </is>
      </c>
      <c r="G10" s="43" t="inlineStr">
        <is>
          <t>SKOR</t>
        </is>
      </c>
      <c r="H10" s="43" t="inlineStr">
        <is>
          <t>SEVİYE</t>
        </is>
      </c>
      <c r="I10" s="43" t="inlineStr">
        <is>
          <t>ÖNCELİK</t>
        </is>
      </c>
      <c r="J10" s="5" t="n"/>
      <c r="K10" s="5" t="n"/>
      <c r="L10" s="5" t="n"/>
    </row>
    <row r="11" ht="22" customHeight="1">
      <c r="E11" s="5" t="n"/>
      <c r="F11" s="24" t="inlineStr">
        <is>
          <t>—</t>
        </is>
      </c>
      <c r="G11" s="23" t="inlineStr">
        <is>
          <t>—</t>
        </is>
      </c>
      <c r="H11" s="23" t="inlineStr">
        <is>
          <t>—</t>
        </is>
      </c>
      <c r="I11" s="23" t="inlineStr">
        <is>
          <t>En öncelikli izleme</t>
        </is>
      </c>
      <c r="J11" s="5" t="n"/>
      <c r="K11" s="5" t="n"/>
      <c r="L11" s="5" t="n"/>
    </row>
    <row r="12" ht="22" customHeight="1">
      <c r="E12" s="5" t="n"/>
      <c r="F12" s="26" t="inlineStr">
        <is>
          <t>—</t>
        </is>
      </c>
      <c r="G12" s="25" t="inlineStr">
        <is>
          <t>—</t>
        </is>
      </c>
      <c r="H12" s="25" t="inlineStr">
        <is>
          <t>—</t>
        </is>
      </c>
      <c r="I12" s="25" t="inlineStr">
        <is>
          <t>Acil aksiyon</t>
        </is>
      </c>
      <c r="J12" s="5" t="n"/>
      <c r="K12" s="5" t="n"/>
      <c r="L12" s="5" t="n"/>
    </row>
    <row r="13" ht="22" customHeight="1">
      <c r="A13" s="5" t="n"/>
      <c r="B13" s="5" t="n"/>
      <c r="C13" s="5" t="n"/>
      <c r="D13" s="5" t="n"/>
      <c r="E13" s="5" t="n"/>
      <c r="F13" s="24" t="inlineStr">
        <is>
          <t>—</t>
        </is>
      </c>
      <c r="G13" s="23" t="inlineStr">
        <is>
          <t>—</t>
        </is>
      </c>
      <c r="H13" s="23" t="inlineStr">
        <is>
          <t>—</t>
        </is>
      </c>
      <c r="I13" s="23" t="inlineStr">
        <is>
          <t>Yakın takip</t>
        </is>
      </c>
      <c r="J13" s="5" t="n"/>
      <c r="K13" s="5" t="n"/>
      <c r="L13" s="5" t="n"/>
    </row>
    <row r="14" ht="22" customHeight="1">
      <c r="A14" s="5" t="n"/>
      <c r="B14" s="5" t="n"/>
      <c r="C14" s="5" t="n"/>
      <c r="D14" s="5" t="n"/>
      <c r="E14" s="5" t="n"/>
      <c r="F14" s="26" t="inlineStr">
        <is>
          <t>—</t>
        </is>
      </c>
      <c r="G14" s="25" t="inlineStr">
        <is>
          <t>—</t>
        </is>
      </c>
      <c r="H14" s="25" t="inlineStr">
        <is>
          <t>—</t>
        </is>
      </c>
      <c r="I14" s="25" t="inlineStr">
        <is>
          <t>Düzenli izleme</t>
        </is>
      </c>
      <c r="J14" s="5" t="n"/>
      <c r="K14" s="5" t="n"/>
      <c r="L14" s="5" t="n"/>
    </row>
    <row r="15" ht="22" customHeight="1">
      <c r="A15" s="5" t="n"/>
      <c r="B15" s="5" t="n"/>
      <c r="C15" s="5" t="n"/>
      <c r="D15" s="5" t="n"/>
      <c r="E15" s="5" t="n"/>
      <c r="F15" s="24" t="inlineStr">
        <is>
          <t>—</t>
        </is>
      </c>
      <c r="G15" s="23" t="inlineStr">
        <is>
          <t>—</t>
        </is>
      </c>
      <c r="H15" s="23" t="inlineStr">
        <is>
          <t>—</t>
        </is>
      </c>
      <c r="I15" s="23" t="inlineStr">
        <is>
          <t>İzleme listesi</t>
        </is>
      </c>
      <c r="J15" s="5" t="n"/>
      <c r="K15" s="5" t="n"/>
      <c r="L15" s="5" t="n"/>
    </row>
    <row r="16" ht="10" customHeight="1">
      <c r="A16" s="17" t="inlineStr">
        <is>
          <t>KVKK VERİ İŞLEME SÖZLEŞMESİ DURUM ÖZETİ</t>
        </is>
      </c>
    </row>
    <row r="17" ht="22" customHeight="1">
      <c r="A17" s="44" t="inlineStr">
        <is>
          <t>✅ Sözleşme İmzalı</t>
        </is>
      </c>
      <c r="H17" s="45">
        <f>COUNTIF('📦 Tedarikçi Listesi'!H5:H24,"✅ Evet")</f>
        <v/>
      </c>
    </row>
    <row r="18" ht="22" customHeight="1">
      <c r="A18" s="46" t="inlineStr">
        <is>
          <t>❌ Sözleşme Yok</t>
        </is>
      </c>
      <c r="H18" s="47">
        <f>COUNTIF('📦 Tedarikçi Listesi'!H5:H24,"❌ Hayır")</f>
        <v/>
      </c>
    </row>
    <row r="19" ht="22" customHeight="1">
      <c r="A19" s="48" t="inlineStr">
        <is>
          <t>⚠️ Beklemede</t>
        </is>
      </c>
      <c r="H19" s="49">
        <f>COUNTIF('📦 Tedarikçi Listesi'!H5:H24,"⚠️ Beklemede")</f>
        <v/>
      </c>
    </row>
    <row r="20">
      <c r="A20" s="5" t="n"/>
      <c r="B20" s="5" t="n"/>
      <c r="C20" s="5" t="n"/>
      <c r="D20" s="5" t="n"/>
      <c r="E20" s="5" t="n"/>
      <c r="F20" s="5" t="n"/>
      <c r="G20" s="5" t="n"/>
      <c r="H20" s="5" t="n"/>
      <c r="I20" s="5" t="n"/>
      <c r="J20" s="5" t="n"/>
      <c r="K20" s="5" t="n"/>
      <c r="L20" s="5" t="n"/>
    </row>
    <row r="21">
      <c r="A21" s="5" t="n"/>
      <c r="B21" s="5" t="n"/>
      <c r="C21" s="5" t="n"/>
      <c r="D21" s="5" t="n"/>
      <c r="E21" s="5" t="n"/>
      <c r="F21" s="5" t="n"/>
      <c r="G21" s="5" t="n"/>
      <c r="H21" s="5" t="n"/>
      <c r="I21" s="5" t="n"/>
      <c r="J21" s="5" t="n"/>
      <c r="K21" s="5" t="n"/>
      <c r="L21" s="5" t="n"/>
    </row>
    <row r="22">
      <c r="A22" s="5" t="n"/>
      <c r="B22" s="5" t="n"/>
      <c r="C22" s="5" t="n"/>
      <c r="D22" s="5" t="n"/>
      <c r="E22" s="5" t="n"/>
      <c r="F22" s="5" t="n"/>
      <c r="G22" s="5" t="n"/>
      <c r="H22" s="5" t="n"/>
      <c r="I22" s="5" t="n"/>
      <c r="J22" s="5" t="n"/>
      <c r="K22" s="5" t="n"/>
      <c r="L22" s="5" t="n"/>
    </row>
    <row r="23">
      <c r="A23" s="5" t="n"/>
      <c r="B23" s="5" t="n"/>
      <c r="C23" s="5" t="n"/>
      <c r="D23" s="5" t="n"/>
      <c r="E23" s="5" t="n"/>
      <c r="F23" s="5" t="n"/>
      <c r="G23" s="5" t="n"/>
      <c r="H23" s="5" t="n"/>
      <c r="I23" s="5" t="n"/>
      <c r="J23" s="5" t="n"/>
      <c r="K23" s="5" t="n"/>
      <c r="L23" s="5" t="n"/>
    </row>
    <row r="24">
      <c r="A24" s="5" t="n"/>
      <c r="B24" s="5" t="n"/>
      <c r="C24" s="5" t="n"/>
      <c r="D24" s="5" t="n"/>
      <c r="E24" s="5" t="n"/>
      <c r="F24" s="5" t="n"/>
      <c r="G24" s="5" t="n"/>
      <c r="H24" s="5" t="n"/>
      <c r="I24" s="5" t="n"/>
      <c r="J24" s="5" t="n"/>
      <c r="K24" s="5" t="n"/>
      <c r="L24" s="5" t="n"/>
    </row>
    <row r="25">
      <c r="A25" s="5" t="n"/>
      <c r="B25" s="5" t="n"/>
      <c r="C25" s="5" t="n"/>
      <c r="D25" s="5" t="n"/>
      <c r="E25" s="5" t="n"/>
      <c r="F25" s="5" t="n"/>
      <c r="G25" s="5" t="n"/>
      <c r="H25" s="5" t="n"/>
      <c r="I25" s="5" t="n"/>
      <c r="J25" s="5" t="n"/>
      <c r="K25" s="5" t="n"/>
      <c r="L25" s="5" t="n"/>
    </row>
    <row r="26">
      <c r="A26" s="5" t="n"/>
      <c r="B26" s="5" t="n"/>
      <c r="C26" s="5" t="n"/>
      <c r="D26" s="5" t="n"/>
      <c r="E26" s="5" t="n"/>
      <c r="F26" s="5" t="n"/>
      <c r="G26" s="5" t="n"/>
      <c r="H26" s="5" t="n"/>
      <c r="I26" s="5" t="n"/>
      <c r="J26" s="5" t="n"/>
      <c r="K26" s="5" t="n"/>
      <c r="L26" s="5" t="n"/>
    </row>
    <row r="27">
      <c r="A27" s="5" t="n"/>
      <c r="B27" s="5" t="n"/>
      <c r="C27" s="5" t="n"/>
      <c r="D27" s="5" t="n"/>
      <c r="E27" s="5" t="n"/>
      <c r="F27" s="5" t="n"/>
      <c r="G27" s="5" t="n"/>
      <c r="H27" s="5" t="n"/>
      <c r="I27" s="5" t="n"/>
      <c r="J27" s="5" t="n"/>
      <c r="K27" s="5" t="n"/>
      <c r="L27" s="5" t="n"/>
    </row>
    <row r="28">
      <c r="A28" s="5" t="n"/>
      <c r="B28" s="5" t="n"/>
      <c r="C28" s="5" t="n"/>
      <c r="D28" s="5" t="n"/>
      <c r="E28" s="5" t="n"/>
      <c r="F28" s="5" t="n"/>
      <c r="G28" s="5" t="n"/>
      <c r="H28" s="5" t="n"/>
      <c r="I28" s="5" t="n"/>
      <c r="J28" s="5" t="n"/>
      <c r="K28" s="5" t="n"/>
      <c r="L28" s="5" t="n"/>
    </row>
    <row r="29">
      <c r="A29" s="5" t="n"/>
      <c r="B29" s="5" t="n"/>
      <c r="C29" s="5" t="n"/>
      <c r="D29" s="5" t="n"/>
      <c r="E29" s="5" t="n"/>
      <c r="F29" s="5" t="n"/>
      <c r="G29" s="5" t="n"/>
      <c r="H29" s="5" t="n"/>
      <c r="I29" s="5" t="n"/>
      <c r="J29" s="5" t="n"/>
      <c r="K29" s="5" t="n"/>
      <c r="L29" s="5" t="n"/>
    </row>
    <row r="30">
      <c r="A30" s="5" t="n"/>
      <c r="B30" s="5" t="n"/>
      <c r="C30" s="5" t="n"/>
      <c r="D30" s="5" t="n"/>
      <c r="E30" s="5" t="n"/>
      <c r="F30" s="5" t="n"/>
      <c r="G30" s="5" t="n"/>
      <c r="H30" s="5" t="n"/>
      <c r="I30" s="5" t="n"/>
      <c r="J30" s="5" t="n"/>
      <c r="K30" s="5" t="n"/>
      <c r="L30" s="5" t="n"/>
    </row>
    <row r="31">
      <c r="A31" s="5" t="n"/>
      <c r="B31" s="5" t="n"/>
      <c r="C31" s="5" t="n"/>
      <c r="D31" s="5" t="n"/>
      <c r="E31" s="5" t="n"/>
      <c r="F31" s="5" t="n"/>
      <c r="G31" s="5" t="n"/>
      <c r="H31" s="5" t="n"/>
      <c r="I31" s="5" t="n"/>
      <c r="J31" s="5" t="n"/>
      <c r="K31" s="5" t="n"/>
      <c r="L31" s="5" t="n"/>
    </row>
    <row r="32">
      <c r="A32" s="5" t="n"/>
      <c r="B32" s="5" t="n"/>
      <c r="C32" s="5" t="n"/>
      <c r="D32" s="5" t="n"/>
      <c r="E32" s="5" t="n"/>
      <c r="F32" s="5" t="n"/>
      <c r="G32" s="5" t="n"/>
      <c r="H32" s="5" t="n"/>
      <c r="I32" s="5" t="n"/>
      <c r="J32" s="5" t="n"/>
      <c r="K32" s="5" t="n"/>
      <c r="L32" s="5" t="n"/>
    </row>
    <row r="33">
      <c r="A33" s="5" t="n"/>
      <c r="B33" s="5" t="n"/>
      <c r="C33" s="5" t="n"/>
      <c r="D33" s="5" t="n"/>
      <c r="E33" s="5" t="n"/>
      <c r="F33" s="5" t="n"/>
      <c r="G33" s="5" t="n"/>
      <c r="H33" s="5" t="n"/>
      <c r="I33" s="5" t="n"/>
      <c r="J33" s="5" t="n"/>
      <c r="K33" s="5" t="n"/>
      <c r="L33" s="5" t="n"/>
    </row>
    <row r="34">
      <c r="A34" s="5" t="n"/>
      <c r="B34" s="5" t="n"/>
      <c r="C34" s="5" t="n"/>
      <c r="D34" s="5" t="n"/>
      <c r="E34" s="5" t="n"/>
      <c r="F34" s="5" t="n"/>
      <c r="G34" s="5" t="n"/>
      <c r="H34" s="5" t="n"/>
      <c r="I34" s="5" t="n"/>
      <c r="J34" s="5" t="n"/>
      <c r="K34" s="5" t="n"/>
      <c r="L34" s="5" t="n"/>
    </row>
    <row r="35">
      <c r="A35" s="5" t="n"/>
      <c r="B35" s="5" t="n"/>
      <c r="C35" s="5" t="n"/>
      <c r="D35" s="5" t="n"/>
      <c r="E35" s="5" t="n"/>
      <c r="F35" s="5" t="n"/>
      <c r="G35" s="5" t="n"/>
      <c r="H35" s="5" t="n"/>
      <c r="I35" s="5" t="n"/>
      <c r="J35" s="5" t="n"/>
      <c r="K35" s="5" t="n"/>
      <c r="L35" s="5" t="n"/>
    </row>
    <row r="36">
      <c r="A36" s="5" t="n"/>
      <c r="B36" s="5" t="n"/>
      <c r="C36" s="5" t="n"/>
      <c r="D36" s="5" t="n"/>
      <c r="E36" s="5" t="n"/>
      <c r="F36" s="5" t="n"/>
      <c r="G36" s="5" t="n"/>
      <c r="H36" s="5" t="n"/>
      <c r="I36" s="5" t="n"/>
      <c r="J36" s="5" t="n"/>
      <c r="K36" s="5" t="n"/>
      <c r="L36" s="5" t="n"/>
    </row>
    <row r="37">
      <c r="A37" s="5" t="n"/>
      <c r="B37" s="5" t="n"/>
      <c r="C37" s="5" t="n"/>
      <c r="D37" s="5" t="n"/>
      <c r="E37" s="5" t="n"/>
      <c r="F37" s="5" t="n"/>
      <c r="G37" s="5" t="n"/>
      <c r="H37" s="5" t="n"/>
      <c r="I37" s="5" t="n"/>
      <c r="J37" s="5" t="n"/>
      <c r="K37" s="5" t="n"/>
      <c r="L37" s="5" t="n"/>
    </row>
    <row r="38">
      <c r="A38" s="5" t="n"/>
      <c r="B38" s="5" t="n"/>
      <c r="C38" s="5" t="n"/>
      <c r="D38" s="5" t="n"/>
      <c r="E38" s="5" t="n"/>
      <c r="F38" s="5" t="n"/>
      <c r="G38" s="5" t="n"/>
      <c r="H38" s="5" t="n"/>
      <c r="I38" s="5" t="n"/>
      <c r="J38" s="5" t="n"/>
      <c r="K38" s="5" t="n"/>
      <c r="L38" s="5" t="n"/>
    </row>
    <row r="39">
      <c r="A39" s="5" t="n"/>
      <c r="B39" s="5" t="n"/>
      <c r="C39" s="5" t="n"/>
      <c r="D39" s="5" t="n"/>
      <c r="E39" s="5" t="n"/>
      <c r="F39" s="5" t="n"/>
      <c r="G39" s="5" t="n"/>
      <c r="H39" s="5" t="n"/>
      <c r="I39" s="5" t="n"/>
      <c r="J39" s="5" t="n"/>
      <c r="K39" s="5" t="n"/>
      <c r="L39" s="5" t="n"/>
    </row>
    <row r="40">
      <c r="A40" s="5" t="n"/>
      <c r="B40" s="5" t="n"/>
      <c r="C40" s="5" t="n"/>
      <c r="D40" s="5" t="n"/>
      <c r="E40" s="5" t="n"/>
      <c r="F40" s="5" t="n"/>
      <c r="G40" s="5" t="n"/>
      <c r="H40" s="5" t="n"/>
      <c r="I40" s="5" t="n"/>
      <c r="J40" s="5" t="n"/>
      <c r="K40" s="5" t="n"/>
      <c r="L40" s="5" t="n"/>
    </row>
    <row r="41">
      <c r="A41" s="5" t="n"/>
      <c r="B41" s="5" t="n"/>
      <c r="C41" s="5" t="n"/>
      <c r="D41" s="5" t="n"/>
      <c r="E41" s="5" t="n"/>
      <c r="F41" s="5" t="n"/>
      <c r="G41" s="5" t="n"/>
      <c r="H41" s="5" t="n"/>
      <c r="I41" s="5" t="n"/>
      <c r="J41" s="5" t="n"/>
      <c r="K41" s="5" t="n"/>
      <c r="L41" s="5" t="n"/>
    </row>
    <row r="42">
      <c r="A42" s="5" t="n"/>
      <c r="B42" s="5" t="n"/>
      <c r="C42" s="5" t="n"/>
      <c r="D42" s="5" t="n"/>
      <c r="E42" s="5" t="n"/>
      <c r="F42" s="5" t="n"/>
      <c r="G42" s="5" t="n"/>
      <c r="H42" s="5" t="n"/>
      <c r="I42" s="5" t="n"/>
      <c r="J42" s="5" t="n"/>
      <c r="K42" s="5" t="n"/>
      <c r="L42" s="5" t="n"/>
    </row>
    <row r="43">
      <c r="A43" s="5" t="n"/>
      <c r="B43" s="5" t="n"/>
      <c r="C43" s="5" t="n"/>
      <c r="D43" s="5" t="n"/>
      <c r="E43" s="5" t="n"/>
      <c r="F43" s="5" t="n"/>
      <c r="G43" s="5" t="n"/>
      <c r="H43" s="5" t="n"/>
      <c r="I43" s="5" t="n"/>
      <c r="J43" s="5" t="n"/>
      <c r="K43" s="5" t="n"/>
      <c r="L43" s="5" t="n"/>
    </row>
    <row r="44">
      <c r="A44" s="5" t="n"/>
      <c r="B44" s="5" t="n"/>
      <c r="C44" s="5" t="n"/>
      <c r="D44" s="5" t="n"/>
      <c r="E44" s="5" t="n"/>
      <c r="F44" s="5" t="n"/>
      <c r="G44" s="5" t="n"/>
      <c r="H44" s="5" t="n"/>
      <c r="I44" s="5" t="n"/>
      <c r="J44" s="5" t="n"/>
      <c r="K44" s="5" t="n"/>
      <c r="L44" s="5" t="n"/>
    </row>
  </sheetData>
  <mergeCells count="20">
    <mergeCell ref="A16:L16"/>
    <mergeCell ref="A17:G17"/>
    <mergeCell ref="F9:L9"/>
    <mergeCell ref="A5:B6"/>
    <mergeCell ref="G5:H6"/>
    <mergeCell ref="A19:G19"/>
    <mergeCell ref="A2:L2"/>
    <mergeCell ref="A9:D9"/>
    <mergeCell ref="A10:D12"/>
    <mergeCell ref="D5:E6"/>
    <mergeCell ref="J5:K6"/>
    <mergeCell ref="J4:K4"/>
    <mergeCell ref="H17:L17"/>
    <mergeCell ref="D4:E4"/>
    <mergeCell ref="H19:L19"/>
    <mergeCell ref="A4:B4"/>
    <mergeCell ref="G4:H4"/>
    <mergeCell ref="A18:G18"/>
    <mergeCell ref="A1:L1"/>
    <mergeCell ref="H18:L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5"/>
  <sheetViews>
    <sheetView showGridLines="0" workbookViewId="0">
      <pane ySplit="3" topLeftCell="A4" activePane="bottomLeft" state="frozen"/>
      <selection pane="bottomLeft" activeCell="A1" sqref="A1"/>
    </sheetView>
  </sheetViews>
  <sheetFormatPr baseColWidth="8" defaultRowHeight="15"/>
  <cols>
    <col width="4" customWidth="1" min="1" max="1"/>
    <col width="24" customWidth="1" min="2" max="2"/>
    <col width="14" customWidth="1" min="3" max="3"/>
    <col width="30" customWidth="1" min="4" max="4"/>
    <col width="36" customWidth="1" min="5" max="5"/>
    <col width="16" customWidth="1" min="6" max="6"/>
    <col width="12" customWidth="1" min="7" max="7"/>
    <col width="12" customWidth="1" min="8" max="8"/>
    <col width="16" customWidth="1" min="9" max="9"/>
    <col width="18" customWidth="1" min="10" max="10"/>
    <col width="28" customWidth="1" min="11" max="11"/>
  </cols>
  <sheetData>
    <row r="1">
      <c r="A1" s="21" t="inlineStr">
        <is>
          <t>THE GOVERNANCE  ·  TEDARİKÇİ RİSK AKSİYON PLANI</t>
        </is>
      </c>
    </row>
    <row r="2">
      <c r="A2" s="3" t="inlineStr">
        <is>
          <t>Yüksek ve Kritik riskli tedarikçiler için alınacak önlemleri buraya kaydedin</t>
        </is>
      </c>
    </row>
    <row r="3" ht="28" customHeight="1">
      <c r="A3" s="22" t="inlineStr">
        <is>
          <t>#</t>
        </is>
      </c>
      <c r="B3" s="22" t="inlineStr">
        <is>
          <t>TEDARİKÇİ</t>
        </is>
      </c>
      <c r="C3" s="22" t="inlineStr">
        <is>
          <t>RİSK SEVİYESİ</t>
        </is>
      </c>
      <c r="D3" s="22" t="inlineStr">
        <is>
          <t>RİSK AÇIKLAMASI</t>
        </is>
      </c>
      <c r="E3" s="22" t="inlineStr">
        <is>
          <t>AKSİYON TANIMI</t>
        </is>
      </c>
      <c r="F3" s="22" t="inlineStr">
        <is>
          <t>SORUMLU</t>
        </is>
      </c>
      <c r="G3" s="22" t="inlineStr">
        <is>
          <t>BAŞLANGIÇ</t>
        </is>
      </c>
      <c r="H3" s="22" t="inlineStr">
        <is>
          <t>BİTİŞ TARİHİ</t>
        </is>
      </c>
      <c r="I3" s="22" t="inlineStr">
        <is>
          <t>DURUM</t>
        </is>
      </c>
      <c r="J3" s="22" t="inlineStr">
        <is>
          <t>MALİYET TAHMİNİ (TL)</t>
        </is>
      </c>
      <c r="K3" s="22" t="inlineStr">
        <is>
          <t>NOTLAR</t>
        </is>
      </c>
    </row>
    <row r="4" ht="32" customHeight="1">
      <c r="A4" s="50" t="n">
        <v>1</v>
      </c>
      <c r="B4" s="35" t="inlineStr">
        <is>
          <t>Bulut Altyapı Sağlayıcısı</t>
        </is>
      </c>
      <c r="C4" s="50" t="inlineStr">
        <is>
          <t>🔴 Kritik</t>
        </is>
      </c>
      <c r="D4" s="35" t="inlineStr">
        <is>
          <t>KVKK veri işleme sözleşmesi imzalanmamış, yurt dışı transfer riski</t>
        </is>
      </c>
      <c r="E4" s="35" t="inlineStr">
        <is>
          <t>Veri işleme sözleşmesi hazırla ve imzala, SCC ekle</t>
        </is>
      </c>
      <c r="F4" s="35" t="n"/>
      <c r="G4" s="50" t="n"/>
      <c r="H4" s="50" t="n"/>
      <c r="I4" s="50" t="n"/>
      <c r="J4" s="50" t="n"/>
      <c r="K4" s="35" t="n"/>
    </row>
    <row r="5" ht="32" customHeight="1">
      <c r="A5" s="51" t="n">
        <v>2</v>
      </c>
      <c r="B5" s="34" t="inlineStr">
        <is>
          <t>ERP Yazılım Firması</t>
        </is>
      </c>
      <c r="C5" s="51" t="inlineStr">
        <is>
          <t>🔴 Kritik</t>
        </is>
      </c>
      <c r="D5" s="34" t="inlineStr">
        <is>
          <t>Tek tedarikçi bağımlılığı, alternatif yok, lisans yenileme riski</t>
        </is>
      </c>
      <c r="E5" s="34" t="inlineStr">
        <is>
          <t>Alternatif ERP seçeneklerini değerlendir, geçiş planı hazırla</t>
        </is>
      </c>
      <c r="F5" s="34" t="n"/>
      <c r="G5" s="51" t="n"/>
      <c r="H5" s="51" t="n"/>
      <c r="I5" s="51" t="n"/>
      <c r="J5" s="51" t="n"/>
      <c r="K5" s="34" t="n"/>
    </row>
    <row r="6" ht="32" customHeight="1">
      <c r="A6" s="50" t="n">
        <v>3</v>
      </c>
      <c r="B6" s="35" t="inlineStr">
        <is>
          <t>Lojistik &amp; Taşıma</t>
        </is>
      </c>
      <c r="C6" s="50" t="inlineStr">
        <is>
          <t>🟠 Yüksek</t>
        </is>
      </c>
      <c r="D6" s="35" t="inlineStr">
        <is>
          <t>İş sürekliliği planı paylaşılmamış, kapasitede sezonsal riskler</t>
        </is>
      </c>
      <c r="E6" s="35" t="inlineStr">
        <is>
          <t>BCP belgesi talep et, yedek taşıyıcı anlaşması yap</t>
        </is>
      </c>
      <c r="F6" s="35" t="n"/>
      <c r="G6" s="50" t="n"/>
      <c r="H6" s="50" t="n"/>
      <c r="I6" s="50" t="n"/>
      <c r="J6" s="50" t="n"/>
      <c r="K6" s="35" t="n"/>
    </row>
    <row r="7" ht="32" customHeight="1">
      <c r="A7" s="51" t="n">
        <v>4</v>
      </c>
      <c r="B7" s="34" t="inlineStr">
        <is>
          <t>Üretim Hammadde Tedarikçisi</t>
        </is>
      </c>
      <c r="C7" s="51" t="inlineStr">
        <is>
          <t>🟠 Yüksek</t>
        </is>
      </c>
      <c r="D7" s="34" t="inlineStr">
        <is>
          <t>Jeopolitik risk yüksek, tek kaynak, stok tamponu yetersiz</t>
        </is>
      </c>
      <c r="E7" s="34" t="inlineStr">
        <is>
          <t>Minimum 45 günlük stok tamponu oluştur, 2. tedarikçi bul</t>
        </is>
      </c>
      <c r="F7" s="34" t="n"/>
      <c r="G7" s="51" t="n"/>
      <c r="H7" s="51" t="n"/>
      <c r="I7" s="51" t="n"/>
      <c r="J7" s="51" t="n"/>
      <c r="K7" s="34" t="n"/>
    </row>
    <row r="8" ht="32" customHeight="1">
      <c r="A8" s="50" t="n">
        <v>5</v>
      </c>
      <c r="B8" s="35" t="n"/>
      <c r="C8" s="50" t="n"/>
      <c r="D8" s="35" t="n"/>
      <c r="E8" s="35" t="n"/>
      <c r="F8" s="35" t="n"/>
      <c r="G8" s="50" t="n"/>
      <c r="H8" s="50" t="n"/>
      <c r="I8" s="50" t="n"/>
      <c r="J8" s="50" t="n"/>
      <c r="K8" s="35" t="n"/>
    </row>
    <row r="9" ht="32" customHeight="1">
      <c r="A9" s="51" t="n">
        <v>6</v>
      </c>
      <c r="B9" s="34" t="n"/>
      <c r="C9" s="51" t="n"/>
      <c r="D9" s="34" t="n"/>
      <c r="E9" s="34" t="n"/>
      <c r="F9" s="34" t="n"/>
      <c r="G9" s="51" t="n"/>
      <c r="H9" s="51" t="n"/>
      <c r="I9" s="51" t="n"/>
      <c r="J9" s="51" t="n"/>
      <c r="K9" s="34" t="n"/>
    </row>
    <row r="10" ht="32" customHeight="1">
      <c r="A10" s="50" t="n">
        <v>7</v>
      </c>
      <c r="B10" s="35" t="n"/>
      <c r="C10" s="50" t="n"/>
      <c r="D10" s="35" t="n"/>
      <c r="E10" s="35" t="n"/>
      <c r="F10" s="35" t="n"/>
      <c r="G10" s="50" t="n"/>
      <c r="H10" s="50" t="n"/>
      <c r="I10" s="50" t="n"/>
      <c r="J10" s="50" t="n"/>
      <c r="K10" s="35" t="n"/>
    </row>
    <row r="11" ht="32" customHeight="1">
      <c r="A11" s="51" t="n">
        <v>8</v>
      </c>
      <c r="B11" s="34" t="n"/>
      <c r="C11" s="51" t="n"/>
      <c r="D11" s="34" t="n"/>
      <c r="E11" s="34" t="n"/>
      <c r="F11" s="34" t="n"/>
      <c r="G11" s="51" t="n"/>
      <c r="H11" s="51" t="n"/>
      <c r="I11" s="51" t="n"/>
      <c r="J11" s="51" t="n"/>
      <c r="K11" s="34" t="n"/>
    </row>
    <row r="12" ht="32" customHeight="1">
      <c r="A12" s="50" t="n">
        <v>9</v>
      </c>
      <c r="B12" s="35" t="n"/>
      <c r="C12" s="50" t="n"/>
      <c r="D12" s="35" t="n"/>
      <c r="E12" s="35" t="n"/>
      <c r="F12" s="35" t="n"/>
      <c r="G12" s="50" t="n"/>
      <c r="H12" s="50" t="n"/>
      <c r="I12" s="50" t="n"/>
      <c r="J12" s="50" t="n"/>
      <c r="K12" s="35" t="n"/>
    </row>
    <row r="13" ht="32" customHeight="1">
      <c r="A13" s="51" t="n">
        <v>10</v>
      </c>
      <c r="B13" s="34" t="n"/>
      <c r="C13" s="51" t="n"/>
      <c r="D13" s="34" t="n"/>
      <c r="E13" s="34" t="n"/>
      <c r="F13" s="34" t="n"/>
      <c r="G13" s="51" t="n"/>
      <c r="H13" s="51" t="n"/>
      <c r="I13" s="51" t="n"/>
      <c r="J13" s="51" t="n"/>
      <c r="K13" s="34" t="n"/>
    </row>
    <row r="14" ht="32" customHeight="1">
      <c r="A14" s="50" t="n">
        <v>11</v>
      </c>
      <c r="B14" s="35" t="n"/>
      <c r="C14" s="50" t="n"/>
      <c r="D14" s="35" t="n"/>
      <c r="E14" s="35" t="n"/>
      <c r="F14" s="35" t="n"/>
      <c r="G14" s="50" t="n"/>
      <c r="H14" s="50" t="n"/>
      <c r="I14" s="50" t="n"/>
      <c r="J14" s="50" t="n"/>
      <c r="K14" s="35" t="n"/>
    </row>
    <row r="15" ht="32" customHeight="1">
      <c r="A15" s="51" t="n">
        <v>12</v>
      </c>
      <c r="B15" s="34" t="n"/>
      <c r="C15" s="51" t="n"/>
      <c r="D15" s="34" t="n"/>
      <c r="E15" s="34" t="n"/>
      <c r="F15" s="34" t="n"/>
      <c r="G15" s="51" t="n"/>
      <c r="H15" s="51" t="n"/>
      <c r="I15" s="51" t="n"/>
      <c r="J15" s="51" t="n"/>
      <c r="K15" s="34" t="n"/>
    </row>
  </sheetData>
  <mergeCells count="2">
    <mergeCell ref="A2:K2"/>
    <mergeCell ref="A1:K1"/>
  </mergeCells>
  <conditionalFormatting sqref="C4:C15">
    <cfRule type="cellIs" priority="1" operator="equal" dxfId="4">
      <formula>"🔴 Kritik"</formula>
    </cfRule>
    <cfRule type="cellIs" priority="2" operator="equal" dxfId="5">
      <formula>"🟠 Yüksek"</formula>
    </cfRule>
    <cfRule type="cellIs" priority="3" operator="equal" dxfId="6">
      <formula>"🟡 Orta"</formula>
    </cfRule>
    <cfRule type="cellIs" priority="4" operator="equal" dxfId="7">
      <formula>"🟢 Tamamlandı"</formula>
    </cfRule>
  </conditionalFormatting>
  <conditionalFormatting sqref="I4:I15">
    <cfRule type="cellIs" priority="5" operator="equal" dxfId="4">
      <formula>"🔴 Kritik"</formula>
    </cfRule>
    <cfRule type="cellIs" priority="6" operator="equal" dxfId="5">
      <formula>"🟠 Yüksek"</formula>
    </cfRule>
    <cfRule type="cellIs" priority="7" operator="equal" dxfId="6">
      <formula>"🟡 Orta"</formula>
    </cfRule>
    <cfRule type="cellIs" priority="8" operator="equal" dxfId="7">
      <formula>"🟢 Tamamlandı"</formula>
    </cfRule>
  </conditionalFormatting>
  <dataValidations count="2">
    <dataValidation sqref="C4 C5 C6 C7 C8 C9 C10 C11 C12 C13 C14 C15" showDropDown="0" showInputMessage="0" showErrorMessage="0" allowBlank="1" type="list">
      <formula1>"🔴 Kritik,🟠 Yüksek,🟡 Orta,🟢 Düşük"</formula1>
    </dataValidation>
    <dataValidation sqref="I4 I5 I6 I7 I8 I9 I10 I11 I12 I13 I14 I15" showDropDown="0" showInputMessage="0" showErrorMessage="0" allowBlank="1" type="list">
      <formula1>"🔴 Başlamadı,🟡 Devam Ediyor,🟢 Tamamlandı,⏸ Beklemede,❌ İptal"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2026-05-20T06:49:43Z</dcterms:created>
  <dcterms:modified xmlns:dcterms="http://purl.org/dc/terms/" xmlns:xsi="http://www.w3.org/2001/XMLSchema-instance" xsi:type="dcterms:W3CDTF">2026-05-20T06:49:43Z</dcterms:modified>
</cp:coreProperties>
</file>