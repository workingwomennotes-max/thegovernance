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Kapak" sheetId="1" state="visible" r:id="rId1"/>
    <sheet xmlns:r="http://schemas.openxmlformats.org/officeDocument/2006/relationships" name="✅ Değerlendirme" sheetId="2" state="visible" r:id="rId2"/>
    <sheet xmlns:r="http://schemas.openxmlformats.org/officeDocument/2006/relationships" name="📊 Gösterge Paneli" sheetId="3" state="visible" r:id="rId3"/>
    <sheet xmlns:r="http://schemas.openxmlformats.org/officeDocument/2006/relationships" name="🎯 Aksiyon Planı" sheetId="4" state="visible" r:id="rId4"/>
    <sheet xmlns:r="http://schemas.openxmlformats.org/officeDocument/2006/relationships" name="📚 Refer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28"/>
    </font>
    <font>
      <name val="Arial"/>
      <color rgb="00F0C4BC"/>
      <sz val="10"/>
    </font>
    <font>
      <name val="Arial"/>
      <b val="1"/>
      <color rgb="008C1F0D"/>
      <sz val="22"/>
    </font>
    <font>
      <name val="Arial"/>
      <color rgb="006C757D"/>
      <sz val="11"/>
    </font>
    <font>
      <name val="Arial"/>
      <b val="1"/>
      <color rgb="008C1F0D"/>
      <sz val="10"/>
    </font>
    <font>
      <name val="Arial"/>
      <color rgb="00111009"/>
      <sz val="10"/>
    </font>
    <font>
      <name val="Arial"/>
      <b val="1"/>
      <color rgb="00FFFFFF"/>
      <sz val="11"/>
    </font>
    <font>
      <name val="Arial"/>
      <b val="1"/>
      <color rgb="00856404"/>
      <sz val="10"/>
    </font>
    <font>
      <name val="Arial"/>
      <i val="1"/>
      <color rgb="006C757D"/>
      <sz val="9"/>
    </font>
    <font>
      <name val="Arial"/>
      <b val="1"/>
      <color rgb="00FFFFFF"/>
      <sz val="13"/>
    </font>
    <font>
      <name val="Arial"/>
      <color rgb="00F0C4BC"/>
      <sz val="9"/>
    </font>
    <font>
      <name val="Arial"/>
      <b val="1"/>
      <color rgb="00FFFFFF"/>
      <sz val="10"/>
    </font>
    <font>
      <name val="Arial"/>
      <color rgb="00111009"/>
      <sz val="9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111009"/>
      <sz val="22"/>
    </font>
    <font>
      <name val="Arial"/>
      <b val="1"/>
      <color rgb="001E7E34"/>
      <sz val="22"/>
    </font>
    <font>
      <name val="Arial"/>
      <b val="1"/>
      <color rgb="00856404"/>
      <sz val="22"/>
    </font>
    <font>
      <name val="Arial"/>
      <b val="1"/>
      <color rgb="00721C24"/>
      <sz val="22"/>
    </font>
    <font>
      <name val="Arial"/>
      <b val="1"/>
      <color rgb="008C1F0D"/>
      <sz val="36"/>
    </font>
    <font>
      <name val="Arial"/>
      <b val="1"/>
      <color rgb="00111009"/>
      <sz val="10"/>
    </font>
    <font>
      <name val="Arial"/>
      <color rgb="000D47A1"/>
      <sz val="9"/>
    </font>
  </fonts>
  <fills count="22">
    <fill>
      <patternFill/>
    </fill>
    <fill>
      <patternFill patternType="gray125"/>
    </fill>
    <fill>
      <patternFill patternType="solid">
        <fgColor rgb="00F4F0E8"/>
      </patternFill>
    </fill>
    <fill>
      <patternFill patternType="solid">
        <fgColor rgb="008C1F0D"/>
      </patternFill>
    </fill>
    <fill>
      <patternFill patternType="solid">
        <fgColor rgb="009A7B3A"/>
      </patternFill>
    </fill>
    <fill>
      <patternFill patternType="solid">
        <fgColor rgb="00E8E3D8"/>
      </patternFill>
    </fill>
    <fill>
      <patternFill patternType="solid">
        <fgColor rgb="00FFFFFF"/>
      </patternFill>
    </fill>
    <fill>
      <patternFill patternType="solid">
        <fgColor rgb="00111009"/>
      </patternFill>
    </fill>
    <fill>
      <patternFill patternType="solid">
        <fgColor rgb="00F8F9FA"/>
      </patternFill>
    </fill>
    <fill>
      <patternFill patternType="solid">
        <fgColor rgb="00FFF3CD"/>
      </patternFill>
    </fill>
    <fill>
      <patternFill patternType="solid">
        <fgColor rgb="001A3A5C"/>
      </patternFill>
    </fill>
    <fill>
      <patternFill patternType="solid">
        <fgColor rgb="001E5631"/>
      </patternFill>
    </fill>
    <fill>
      <patternFill patternType="solid">
        <fgColor rgb="004A235A"/>
      </patternFill>
    </fill>
    <fill>
      <patternFill patternType="solid">
        <fgColor rgb="007B1818"/>
      </patternFill>
    </fill>
    <fill>
      <patternFill patternType="solid">
        <fgColor rgb="007D4E00"/>
      </patternFill>
    </fill>
    <fill>
      <patternFill patternType="solid">
        <fgColor rgb="001A4A4A"/>
      </patternFill>
    </fill>
    <fill>
      <patternFill patternType="solid">
        <fgColor rgb="003D3D00"/>
      </patternFill>
    </fill>
    <fill>
      <patternFill patternType="solid">
        <fgColor rgb="001E7E34"/>
      </patternFill>
    </fill>
    <fill>
      <patternFill patternType="solid">
        <fgColor rgb="00D4EDDA"/>
      </patternFill>
    </fill>
    <fill>
      <patternFill patternType="solid">
        <fgColor rgb="00856404"/>
      </patternFill>
    </fill>
    <fill>
      <patternFill patternType="solid">
        <fgColor rgb="00721C24"/>
      </patternFill>
    </fill>
    <fill>
      <patternFill patternType="solid">
        <fgColor rgb="00F8D7DA"/>
      </patternFill>
    </fill>
  </fills>
  <borders count="7">
    <border>
      <left/>
      <right/>
      <top/>
      <bottom/>
      <diagonal/>
    </border>
    <border>
      <left style="thin">
        <color rgb="00E0DBD0"/>
      </left>
      <right style="thin">
        <color rgb="00E0DBD0"/>
      </right>
      <top style="thin">
        <color rgb="00E0DBD0"/>
      </top>
      <bottom style="thin">
        <color rgb="00E0DBD0"/>
      </bottom>
    </border>
    <border>
      <left style="thin">
        <color rgb="00E8E3D8"/>
      </left>
      <right style="thin">
        <color rgb="00E8E3D8"/>
      </right>
      <top style="thin">
        <color rgb="00E8E3D8"/>
      </top>
      <bottom style="thin">
        <color rgb="00E8E3D8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thin">
        <color rgb="00DEDEDE"/>
      </left>
      <right style="thin">
        <color rgb="00DEDEDE"/>
      </right>
      <top style="thin">
        <color rgb="00DEDEDE"/>
      </top>
      <bottom style="thin">
        <color rgb="00DEDEDE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left" vertical="center" wrapText="1"/>
    </xf>
    <xf numFmtId="0" fontId="13" fillId="8" borderId="4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left" vertical="center" wrapText="1"/>
    </xf>
    <xf numFmtId="0" fontId="13" fillId="6" borderId="4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left" vertical="center" wrapText="1"/>
    </xf>
    <xf numFmtId="0" fontId="12" fillId="13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left" vertical="center" wrapText="1"/>
    </xf>
    <xf numFmtId="0" fontId="12" fillId="15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7" borderId="5" applyAlignment="1" pivotButton="0" quotePrefix="0" xfId="0">
      <alignment horizontal="center" vertical="center" wrapText="1"/>
    </xf>
    <xf numFmtId="0" fontId="15" fillId="17" borderId="5" applyAlignment="1" pivotButton="0" quotePrefix="0" xfId="0">
      <alignment horizontal="center" vertical="center" wrapText="1"/>
    </xf>
    <xf numFmtId="0" fontId="15" fillId="19" borderId="5" applyAlignment="1" pivotButton="0" quotePrefix="0" xfId="0">
      <alignment horizontal="center" vertical="center" wrapText="1"/>
    </xf>
    <xf numFmtId="0" fontId="15" fillId="20" borderId="5" applyAlignment="1" pivotButton="0" quotePrefix="0" xfId="0">
      <alignment horizontal="center" vertical="center" wrapText="1"/>
    </xf>
    <xf numFmtId="0" fontId="16" fillId="8" borderId="6" applyAlignment="1" pivotButton="0" quotePrefix="0" xfId="0">
      <alignment horizontal="center" vertical="center" wrapText="1"/>
    </xf>
    <xf numFmtId="0" fontId="17" fillId="18" borderId="6" applyAlignment="1" pivotButton="0" quotePrefix="0" xfId="0">
      <alignment horizontal="center" vertical="center" wrapText="1"/>
    </xf>
    <xf numFmtId="0" fontId="18" fillId="9" borderId="6" applyAlignment="1" pivotButton="0" quotePrefix="0" xfId="0">
      <alignment horizontal="center" vertical="center" wrapText="1"/>
    </xf>
    <xf numFmtId="0" fontId="19" fillId="21" borderId="6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20" fillId="6" borderId="6" applyAlignment="1" pivotButton="0" quotePrefix="0" xfId="0">
      <alignment horizontal="center" vertical="center" wrapText="1"/>
    </xf>
    <xf numFmtId="0" fontId="21" fillId="6" borderId="4" applyAlignment="1" pivotButton="0" quotePrefix="0" xfId="0">
      <alignment horizontal="left" vertical="center" wrapText="1"/>
    </xf>
    <xf numFmtId="0" fontId="21" fillId="6" borderId="4" applyAlignment="1" pivotButton="0" quotePrefix="0" xfId="0">
      <alignment horizontal="center" vertical="center" wrapText="1"/>
    </xf>
    <xf numFmtId="0" fontId="21" fillId="8" borderId="4" applyAlignment="1" pivotButton="0" quotePrefix="0" xfId="0">
      <alignment horizontal="left" vertical="center" wrapText="1"/>
    </xf>
    <xf numFmtId="0" fontId="21" fillId="8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left" vertical="center" wrapText="1"/>
    </xf>
    <xf numFmtId="0" fontId="0" fillId="8" borderId="4" applyAlignment="1" pivotButton="0" quotePrefix="0" xfId="0">
      <alignment horizontal="center" vertical="center" wrapText="1"/>
    </xf>
    <xf numFmtId="0" fontId="0" fillId="8" borderId="4" applyAlignment="1" pivotButton="0" quotePrefix="0" xfId="0">
      <alignment horizontal="left" vertical="center" wrapText="1"/>
    </xf>
    <xf numFmtId="0" fontId="22" fillId="8" borderId="4" applyAlignment="1" pivotButton="0" quotePrefix="0" xfId="0">
      <alignment horizontal="left" vertical="center" wrapText="1"/>
    </xf>
    <xf numFmtId="0" fontId="22" fillId="6" borderId="4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b val="1"/>
        <color rgb="001E7E34"/>
        <sz val="10"/>
      </font>
      <fill>
        <patternFill patternType="solid">
          <fgColor rgb="00D4EDDA"/>
        </patternFill>
      </fill>
    </dxf>
    <dxf>
      <font>
        <name val="Arial"/>
        <b val="1"/>
        <color rgb="00721C24"/>
        <sz val="10"/>
      </font>
      <fill>
        <patternFill patternType="solid">
          <fgColor rgb="00F8D7DA"/>
        </patternFill>
      </fill>
    </dxf>
    <dxf>
      <font>
        <name val="Arial"/>
        <b val="1"/>
        <color rgb="00856404"/>
        <sz val="10"/>
      </font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55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3" t="inlineStr">
        <is>
          <t>THE GOVERNANCE</t>
        </is>
      </c>
    </row>
    <row r="4">
      <c r="A4" s="2" t="n"/>
      <c r="B4" s="4" t="inlineStr">
        <is>
          <t>Kurumsal Risk &amp; Teknoloji Yönetişimi · thegovernance.com.tr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5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20" customHeight="1">
      <c r="A8" s="1" t="n"/>
      <c r="B8" s="6" t="inlineStr">
        <is>
          <t>KVKK UYUM KONTROL LİSTESİ</t>
        </is>
      </c>
    </row>
    <row r="9">
      <c r="A9" s="1" t="n"/>
      <c r="B9" s="7" t="inlineStr">
        <is>
          <t>Kişisel Verilerin Korunması Kanunu — Kurumsal Uyum Değerlendirme Aracı</t>
        </is>
      </c>
    </row>
    <row r="10">
      <c r="A10" s="1" t="n"/>
      <c r="B10" s="8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22" customHeight="1">
      <c r="A12" s="1" t="n"/>
      <c r="B12" s="9" t="inlineStr">
        <is>
          <t>Hazırlayan</t>
        </is>
      </c>
      <c r="D12" s="10" t="inlineStr">
        <is>
          <t>The Governance Editörü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22" customHeight="1">
      <c r="A14" s="1" t="n"/>
      <c r="B14" s="9" t="inlineStr">
        <is>
          <t>Versiyon</t>
        </is>
      </c>
      <c r="D14" s="10" t="inlineStr">
        <is>
          <t>v1.0 — Mayıs 2026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22" customHeight="1">
      <c r="A16" s="1" t="n"/>
      <c r="B16" s="9" t="inlineStr">
        <is>
          <t>Hukuki Dayanak</t>
        </is>
      </c>
      <c r="D16" s="10" t="inlineStr">
        <is>
          <t>6698 sayılı KVKK + Üretken AI Rehberi (Kasım 2025)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22" customHeight="1">
      <c r="A18" s="1" t="n"/>
      <c r="B18" s="9" t="inlineStr">
        <is>
          <t>Hedef Kitle</t>
        </is>
      </c>
      <c r="D18" s="10" t="inlineStr">
        <is>
          <t>Uyum Ekipleri · İç Denetim · Risk Yönetimi · KVKK Koordinatörü</t>
        </is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22" customHeight="1">
      <c r="A20" s="1" t="n"/>
      <c r="B20" s="9" t="inlineStr">
        <is>
          <t>Kullanım</t>
        </is>
      </c>
      <c r="D20" s="10" t="inlineStr">
        <is>
          <t>Yıllık uyum değerlendirmesi, iç denetim hazırlığı, gap analizi</t>
        </is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6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1" t="inlineStr">
        <is>
          <t>NASIL KULLANILIR?</t>
        </is>
      </c>
    </row>
    <row r="26" ht="20" customHeight="1">
      <c r="A26" s="1" t="n"/>
      <c r="B26" s="12" t="inlineStr">
        <is>
          <t>1️⃣  'Değerlendirme' sekmesine geçin — her madde için Evet / Hayır / Kısmen seçin</t>
        </is>
      </c>
    </row>
    <row r="27" ht="20" customHeight="1">
      <c r="A27" s="1" t="n"/>
      <c r="B27" s="13" t="inlineStr">
        <is>
          <t>2️⃣  'Açıklama / Kanıt' sütununa mevcut uygulamanızı veya belge referansını yazın</t>
        </is>
      </c>
    </row>
    <row r="28" ht="20" customHeight="1">
      <c r="A28" s="1" t="n"/>
      <c r="B28" s="12" t="inlineStr">
        <is>
          <t>3️⃣  'Sorumlu' sütununa ilgili departman veya kişiyi atayın</t>
        </is>
      </c>
    </row>
    <row r="29" ht="20" customHeight="1">
      <c r="A29" s="1" t="n"/>
      <c r="B29" s="13" t="inlineStr">
        <is>
          <t>4️⃣  'Gösterge Paneli' sekmesinden genel uyum skorunuzu ve risk haritanızı görün</t>
        </is>
      </c>
    </row>
    <row r="30" ht="20" customHeight="1">
      <c r="A30" s="1" t="n"/>
      <c r="B30" s="12" t="inlineStr">
        <is>
          <t>5️⃣  'Aksiyon Planı' sekmesine Hayır / Kısmen yanıtları için aksiyon girin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4" t="inlineStr">
        <is>
          <t>⚠  Hukuki Uyarı</t>
        </is>
      </c>
    </row>
    <row r="34">
      <c r="A34" s="1" t="n"/>
      <c r="B34" s="15" t="inlineStr">
        <is>
          <t>Bu araç, genel bilgilendirme ve iç değerlendirme amacıyla hazırlanmıştır. Hukuki tavsiye niteliği taşımaz. Kurumunuza özel uyum stratejisi için hukuk danışmanı ve KVKK uzmanından destek almanız önerilir. © 2026 The Governance — thegovernance.com.tr</t>
        </is>
      </c>
    </row>
    <row r="35">
      <c r="A35" s="1" t="n"/>
    </row>
    <row r="36">
      <c r="A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</sheetData>
  <mergeCells count="24">
    <mergeCell ref="D20:K20"/>
    <mergeCell ref="B16:C16"/>
    <mergeCell ref="B9:K9"/>
    <mergeCell ref="B30:K30"/>
    <mergeCell ref="B34:K36"/>
    <mergeCell ref="B6:K6"/>
    <mergeCell ref="B18:C18"/>
    <mergeCell ref="B33:K33"/>
    <mergeCell ref="B12:C12"/>
    <mergeCell ref="B4:K4"/>
    <mergeCell ref="B26:K26"/>
    <mergeCell ref="B14:C14"/>
    <mergeCell ref="B25:K25"/>
    <mergeCell ref="B3:K3"/>
    <mergeCell ref="D16:K16"/>
    <mergeCell ref="B27:K27"/>
    <mergeCell ref="D18:K18"/>
    <mergeCell ref="D12:K12"/>
    <mergeCell ref="B8:K8"/>
    <mergeCell ref="B20:C20"/>
    <mergeCell ref="B29:K29"/>
    <mergeCell ref="D14:K14"/>
    <mergeCell ref="B10:K10"/>
    <mergeCell ref="B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52" customWidth="1" min="3" max="3"/>
    <col width="22" customWidth="1" min="4" max="4"/>
    <col width="14" customWidth="1" min="5" max="5"/>
    <col width="38" customWidth="1" min="6" max="6"/>
    <col width="16" customWidth="1" min="7" max="7"/>
    <col width="12" customWidth="1" min="8" max="8"/>
    <col width="10" customWidth="1" min="9" max="9"/>
    <col width="12" customWidth="1" min="10" max="10"/>
    <col width="28" customWidth="1" min="11" max="11"/>
    <col width="14" customWidth="1" min="12" max="12"/>
  </cols>
  <sheetData>
    <row r="1">
      <c r="A1" s="16" t="inlineStr">
        <is>
          <t>THE GOVERNANCE  ·  KVKK UYUM KONTROL LİSTESİ  ·  Değerlendirme Formu</t>
        </is>
      </c>
    </row>
    <row r="2">
      <c r="A2" s="17" t="inlineStr">
        <is>
          <t>Her madde için Uyum Durumu sütunundan seçim yapın  ·  Açıklama ve Sorumlu alanlarını doldurun</t>
        </is>
      </c>
    </row>
    <row r="3" ht="6" customHeight="1"/>
    <row r="4" ht="30" customHeight="1">
      <c r="A4" s="18" t="inlineStr">
        <is>
          <t>#</t>
        </is>
      </c>
      <c r="B4" s="18" t="inlineStr">
        <is>
          <t>KATEGORİ</t>
        </is>
      </c>
      <c r="C4" s="18" t="inlineStr">
        <is>
          <t>KONTROL MADDESİ</t>
        </is>
      </c>
      <c r="D4" s="18" t="inlineStr">
        <is>
          <t>HUKUKI DAYANAK</t>
        </is>
      </c>
      <c r="E4" s="18" t="inlineStr">
        <is>
          <t>UYUM DURUMU</t>
        </is>
      </c>
      <c r="F4" s="18" t="inlineStr">
        <is>
          <t>AÇIKLAMA / KANIT</t>
        </is>
      </c>
      <c r="G4" s="18" t="inlineStr">
        <is>
          <t>SORUMLU</t>
        </is>
      </c>
      <c r="H4" s="18" t="inlineStr">
        <is>
          <t>SON TARİH</t>
        </is>
      </c>
      <c r="I4" s="18" t="inlineStr">
        <is>
          <t>ÖNCELİK</t>
        </is>
      </c>
      <c r="J4" s="18" t="inlineStr">
        <is>
          <t>RİSK SEVİYESİ</t>
        </is>
      </c>
      <c r="K4" s="18" t="inlineStr">
        <is>
          <t>NOTLAR</t>
        </is>
      </c>
      <c r="L4" s="18" t="inlineStr">
        <is>
          <t>SON GÜNCELLEME</t>
        </is>
      </c>
    </row>
    <row r="5" ht="22" customHeight="1">
      <c r="A5" s="19" t="inlineStr">
        <is>
          <t xml:space="preserve">  ▸  VERİ ENVANTERİ</t>
        </is>
      </c>
    </row>
    <row r="6">
      <c r="A6" s="20" t="n">
        <v>1</v>
      </c>
      <c r="B6" s="21" t="inlineStr">
        <is>
          <t>VERİ ENVANTERİ</t>
        </is>
      </c>
      <c r="C6" s="22" t="inlineStr">
        <is>
          <t>Kişisel veri envanteri (VERBİS kaydı) güncel ve eksiksiz mi?</t>
        </is>
      </c>
      <c r="D6" s="21" t="inlineStr">
        <is>
          <t>KVKK Md.16 / VERBİS Yön.</t>
        </is>
      </c>
      <c r="E6" s="20" t="inlineStr"/>
      <c r="F6" s="21" t="inlineStr"/>
      <c r="G6" s="21" t="inlineStr"/>
      <c r="H6" s="20" t="inlineStr"/>
      <c r="I6" s="20" t="inlineStr">
        <is>
          <t>Kritik</t>
        </is>
      </c>
      <c r="J6" s="20" t="inlineStr">
        <is>
          <t>Yüksek</t>
        </is>
      </c>
      <c r="K6" s="21" t="inlineStr"/>
      <c r="L6" s="21" t="inlineStr"/>
    </row>
    <row r="7" ht="36" customHeight="1">
      <c r="A7" s="23" t="n">
        <v>2</v>
      </c>
      <c r="B7" s="24" t="inlineStr">
        <is>
          <t>VERİ ENVANTERİ</t>
        </is>
      </c>
      <c r="C7" s="25" t="inlineStr">
        <is>
          <t>İşlenen her kişisel veri kategorisi için hukuki dayanak belirlenmiş mi?</t>
        </is>
      </c>
      <c r="D7" s="24" t="inlineStr">
        <is>
          <t>KVKK Md.5-6</t>
        </is>
      </c>
      <c r="E7" s="23" t="inlineStr"/>
      <c r="F7" s="24" t="inlineStr"/>
      <c r="G7" s="24" t="inlineStr"/>
      <c r="H7" s="23" t="inlineStr"/>
      <c r="I7" s="23" t="inlineStr">
        <is>
          <t>Kritik</t>
        </is>
      </c>
      <c r="J7" s="23" t="inlineStr">
        <is>
          <t>Yüksek</t>
        </is>
      </c>
      <c r="K7" s="24" t="inlineStr"/>
      <c r="L7" s="24" t="inlineStr"/>
    </row>
    <row r="8" ht="36" customHeight="1">
      <c r="A8" s="20" t="n">
        <v>3</v>
      </c>
      <c r="B8" s="21" t="inlineStr">
        <is>
          <t>VERİ ENVANTERİ</t>
        </is>
      </c>
      <c r="C8" s="22" t="inlineStr">
        <is>
          <t>Özel nitelikli kişisel veriler (sağlık, biyometrik vb.) ayrıca sınıflandırılmış mı?</t>
        </is>
      </c>
      <c r="D8" s="21" t="inlineStr">
        <is>
          <t>KVKK Md.6</t>
        </is>
      </c>
      <c r="E8" s="20" t="inlineStr"/>
      <c r="F8" s="21" t="inlineStr"/>
      <c r="G8" s="21" t="inlineStr"/>
      <c r="H8" s="20" t="inlineStr"/>
      <c r="I8" s="20" t="inlineStr">
        <is>
          <t>Kritik</t>
        </is>
      </c>
      <c r="J8" s="20" t="inlineStr">
        <is>
          <t>Yüksek</t>
        </is>
      </c>
      <c r="K8" s="21" t="inlineStr"/>
      <c r="L8" s="21" t="inlineStr"/>
    </row>
    <row r="9" ht="36" customHeight="1">
      <c r="A9" s="23" t="n">
        <v>4</v>
      </c>
      <c r="B9" s="24" t="inlineStr">
        <is>
          <t>VERİ ENVANTERİ</t>
        </is>
      </c>
      <c r="C9" s="25" t="inlineStr">
        <is>
          <t>Veri saklama süreleri politikaya bağlanmış ve uygulanıyor mu?</t>
        </is>
      </c>
      <c r="D9" s="24" t="inlineStr">
        <is>
          <t>KVKK Md.7 / Silinme Yön.</t>
        </is>
      </c>
      <c r="E9" s="23" t="inlineStr"/>
      <c r="F9" s="24" t="inlineStr"/>
      <c r="G9" s="24" t="inlineStr"/>
      <c r="H9" s="23" t="inlineStr"/>
      <c r="I9" s="23" t="inlineStr">
        <is>
          <t>Yüksek</t>
        </is>
      </c>
      <c r="J9" s="23" t="inlineStr">
        <is>
          <t>Yüksek</t>
        </is>
      </c>
      <c r="K9" s="24" t="inlineStr"/>
      <c r="L9" s="24" t="inlineStr"/>
    </row>
    <row r="10" ht="36" customHeight="1">
      <c r="A10" s="20" t="n">
        <v>5</v>
      </c>
      <c r="B10" s="21" t="inlineStr">
        <is>
          <t>VERİ ENVANTERİ</t>
        </is>
      </c>
      <c r="C10" s="22" t="inlineStr">
        <is>
          <t>Veri akış haritaları (data flow map) hazırlanmış mı?</t>
        </is>
      </c>
      <c r="D10" s="21" t="inlineStr">
        <is>
          <t>GDPR Art.30 uyum</t>
        </is>
      </c>
      <c r="E10" s="20" t="inlineStr"/>
      <c r="F10" s="21" t="inlineStr"/>
      <c r="G10" s="21" t="inlineStr"/>
      <c r="H10" s="20" t="inlineStr"/>
      <c r="I10" s="20" t="inlineStr">
        <is>
          <t>Orta</t>
        </is>
      </c>
      <c r="J10" s="20" t="inlineStr">
        <is>
          <t>Orta</t>
        </is>
      </c>
      <c r="K10" s="21" t="inlineStr"/>
      <c r="L10" s="21" t="inlineStr"/>
    </row>
    <row r="11" ht="22" customHeight="1">
      <c r="A11" s="26" t="inlineStr">
        <is>
          <t xml:space="preserve">  ▸  AYDINLATMA</t>
        </is>
      </c>
    </row>
    <row r="12">
      <c r="A12" s="23" t="n">
        <v>6</v>
      </c>
      <c r="B12" s="24" t="inlineStr">
        <is>
          <t>AYDINLATMA</t>
        </is>
      </c>
      <c r="C12" s="25" t="inlineStr">
        <is>
          <t>Çalışanlara yönelik aydınlatma metni mevcut ve güncel mi?</t>
        </is>
      </c>
      <c r="D12" s="24" t="inlineStr">
        <is>
          <t>KVKK Md.10</t>
        </is>
      </c>
      <c r="E12" s="23" t="inlineStr"/>
      <c r="F12" s="24" t="inlineStr"/>
      <c r="G12" s="24" t="inlineStr"/>
      <c r="H12" s="23" t="inlineStr"/>
      <c r="I12" s="23" t="inlineStr">
        <is>
          <t>Kritik</t>
        </is>
      </c>
      <c r="J12" s="23" t="inlineStr">
        <is>
          <t>Yüksek</t>
        </is>
      </c>
      <c r="K12" s="24" t="inlineStr"/>
      <c r="L12" s="24" t="inlineStr"/>
    </row>
    <row r="13" ht="36" customHeight="1">
      <c r="A13" s="20" t="n">
        <v>7</v>
      </c>
      <c r="B13" s="21" t="inlineStr">
        <is>
          <t>AYDINLATMA</t>
        </is>
      </c>
      <c r="C13" s="22" t="inlineStr">
        <is>
          <t>Müşterilere yönelik aydınlatma metni web sitesinde erişilebilir mi?</t>
        </is>
      </c>
      <c r="D13" s="21" t="inlineStr">
        <is>
          <t>KVKK Md.10</t>
        </is>
      </c>
      <c r="E13" s="20" t="inlineStr"/>
      <c r="F13" s="21" t="inlineStr"/>
      <c r="G13" s="21" t="inlineStr"/>
      <c r="H13" s="20" t="inlineStr"/>
      <c r="I13" s="20" t="inlineStr">
        <is>
          <t>Kritik</t>
        </is>
      </c>
      <c r="J13" s="20" t="inlineStr">
        <is>
          <t>Yüksek</t>
        </is>
      </c>
      <c r="K13" s="21" t="inlineStr"/>
      <c r="L13" s="21" t="inlineStr"/>
    </row>
    <row r="14" ht="36" customHeight="1">
      <c r="A14" s="23" t="n">
        <v>8</v>
      </c>
      <c r="B14" s="24" t="inlineStr">
        <is>
          <t>AYDINLATMA</t>
        </is>
      </c>
      <c r="C14" s="25" t="inlineStr">
        <is>
          <t>Aydınlatma metinleri sade, anlaşılır dilde yazılmış mı?</t>
        </is>
      </c>
      <c r="D14" s="24" t="inlineStr">
        <is>
          <t>KVKK Kılavuz</t>
        </is>
      </c>
      <c r="E14" s="23" t="inlineStr"/>
      <c r="F14" s="24" t="inlineStr"/>
      <c r="G14" s="24" t="inlineStr"/>
      <c r="H14" s="23" t="inlineStr"/>
      <c r="I14" s="23" t="inlineStr">
        <is>
          <t>Orta</t>
        </is>
      </c>
      <c r="J14" s="23" t="inlineStr">
        <is>
          <t>Orta</t>
        </is>
      </c>
      <c r="K14" s="24" t="inlineStr"/>
      <c r="L14" s="24" t="inlineStr"/>
    </row>
    <row r="15" ht="36" customHeight="1">
      <c r="A15" s="20" t="n">
        <v>9</v>
      </c>
      <c r="B15" s="21" t="inlineStr">
        <is>
          <t>AYDINLATMA</t>
        </is>
      </c>
      <c r="C15" s="22" t="inlineStr">
        <is>
          <t>Tedarikçi/iş ortağı aydınlatma metinleri mevcut mu?</t>
        </is>
      </c>
      <c r="D15" s="21" t="inlineStr">
        <is>
          <t>KVKK Md.10</t>
        </is>
      </c>
      <c r="E15" s="20" t="inlineStr"/>
      <c r="F15" s="21" t="inlineStr"/>
      <c r="G15" s="21" t="inlineStr"/>
      <c r="H15" s="20" t="inlineStr"/>
      <c r="I15" s="20" t="inlineStr">
        <is>
          <t>Yüksek</t>
        </is>
      </c>
      <c r="J15" s="20" t="inlineStr">
        <is>
          <t>Orta</t>
        </is>
      </c>
      <c r="K15" s="21" t="inlineStr"/>
      <c r="L15" s="21" t="inlineStr"/>
    </row>
    <row r="16" ht="22" customHeight="1">
      <c r="A16" s="27" t="inlineStr">
        <is>
          <t xml:space="preserve">  ▸  AÇIK RIZA</t>
        </is>
      </c>
    </row>
    <row r="17">
      <c r="A17" s="23" t="n">
        <v>10</v>
      </c>
      <c r="B17" s="24" t="inlineStr">
        <is>
          <t>AÇIK RIZA</t>
        </is>
      </c>
      <c r="C17" s="25" t="inlineStr">
        <is>
          <t>Rıza gerektiren işlemler için ayrı, açık rıza metinleri var mı?</t>
        </is>
      </c>
      <c r="D17" s="24" t="inlineStr">
        <is>
          <t>KVKK Md.3,5</t>
        </is>
      </c>
      <c r="E17" s="23" t="inlineStr"/>
      <c r="F17" s="24" t="inlineStr"/>
      <c r="G17" s="24" t="inlineStr"/>
      <c r="H17" s="23" t="inlineStr"/>
      <c r="I17" s="23" t="inlineStr">
        <is>
          <t>Kritik</t>
        </is>
      </c>
      <c r="J17" s="23" t="inlineStr">
        <is>
          <t>Yüksek</t>
        </is>
      </c>
      <c r="K17" s="24" t="inlineStr"/>
      <c r="L17" s="24" t="inlineStr"/>
    </row>
    <row r="18" ht="36" customHeight="1">
      <c r="A18" s="20" t="n">
        <v>11</v>
      </c>
      <c r="B18" s="21" t="inlineStr">
        <is>
          <t>AÇIK RIZA</t>
        </is>
      </c>
      <c r="C18" s="22" t="inlineStr">
        <is>
          <t>Rızalar özgür iradeyle alınıyor mu (hizmet şartına bağlı değil mi)?</t>
        </is>
      </c>
      <c r="D18" s="21" t="inlineStr">
        <is>
          <t>KVKK Md.3</t>
        </is>
      </c>
      <c r="E18" s="20" t="inlineStr"/>
      <c r="F18" s="21" t="inlineStr"/>
      <c r="G18" s="21" t="inlineStr"/>
      <c r="H18" s="20" t="inlineStr"/>
      <c r="I18" s="20" t="inlineStr">
        <is>
          <t>Kritik</t>
        </is>
      </c>
      <c r="J18" s="20" t="inlineStr">
        <is>
          <t>Yüksek</t>
        </is>
      </c>
      <c r="K18" s="21" t="inlineStr"/>
      <c r="L18" s="21" t="inlineStr"/>
    </row>
    <row r="19" ht="36" customHeight="1">
      <c r="A19" s="23" t="n">
        <v>12</v>
      </c>
      <c r="B19" s="24" t="inlineStr">
        <is>
          <t>AÇIK RIZA</t>
        </is>
      </c>
      <c r="C19" s="25" t="inlineStr">
        <is>
          <t>Rıza geri çekme mekanizması kolay erişilebilir mi?</t>
        </is>
      </c>
      <c r="D19" s="24" t="inlineStr">
        <is>
          <t>KVKK Md.11</t>
        </is>
      </c>
      <c r="E19" s="23" t="inlineStr"/>
      <c r="F19" s="24" t="inlineStr"/>
      <c r="G19" s="24" t="inlineStr"/>
      <c r="H19" s="23" t="inlineStr"/>
      <c r="I19" s="23" t="inlineStr">
        <is>
          <t>Yüksek</t>
        </is>
      </c>
      <c r="J19" s="23" t="inlineStr">
        <is>
          <t>Yüksek</t>
        </is>
      </c>
      <c r="K19" s="24" t="inlineStr"/>
      <c r="L19" s="24" t="inlineStr"/>
    </row>
    <row r="20" ht="36" customHeight="1">
      <c r="A20" s="20" t="n">
        <v>13</v>
      </c>
      <c r="B20" s="21" t="inlineStr">
        <is>
          <t>AÇIK RIZA</t>
        </is>
      </c>
      <c r="C20" s="22" t="inlineStr">
        <is>
          <t>Pazarlama rızaları ayrı toplanıyor mu?</t>
        </is>
      </c>
      <c r="D20" s="21" t="inlineStr">
        <is>
          <t>KVKK Md.5</t>
        </is>
      </c>
      <c r="E20" s="20" t="inlineStr"/>
      <c r="F20" s="21" t="inlineStr"/>
      <c r="G20" s="21" t="inlineStr"/>
      <c r="H20" s="20" t="inlineStr"/>
      <c r="I20" s="20" t="inlineStr">
        <is>
          <t>Yüksek</t>
        </is>
      </c>
      <c r="J20" s="20" t="inlineStr">
        <is>
          <t>Orta</t>
        </is>
      </c>
      <c r="K20" s="21" t="inlineStr"/>
      <c r="L20" s="21" t="inlineStr"/>
    </row>
    <row r="21" ht="22" customHeight="1">
      <c r="A21" s="28" t="inlineStr">
        <is>
          <t xml:space="preserve">  ▸  VERİ GÜVENLİĞİ</t>
        </is>
      </c>
    </row>
    <row r="22">
      <c r="A22" s="23" t="n">
        <v>14</v>
      </c>
      <c r="B22" s="24" t="inlineStr">
        <is>
          <t>VERİ GÜVENLİĞİ</t>
        </is>
      </c>
      <c r="C22" s="25" t="inlineStr">
        <is>
          <t>Teknik güvenlik önlemleri belgelenmiş mi? (şifreleme, erişim kontrolü vb.)</t>
        </is>
      </c>
      <c r="D22" s="24" t="inlineStr">
        <is>
          <t>KVKK Md.12</t>
        </is>
      </c>
      <c r="E22" s="23" t="inlineStr"/>
      <c r="F22" s="24" t="inlineStr"/>
      <c r="G22" s="24" t="inlineStr"/>
      <c r="H22" s="23" t="inlineStr"/>
      <c r="I22" s="23" t="inlineStr">
        <is>
          <t>Kritik</t>
        </is>
      </c>
      <c r="J22" s="23" t="inlineStr">
        <is>
          <t>Yüksek</t>
        </is>
      </c>
      <c r="K22" s="24" t="inlineStr"/>
      <c r="L22" s="24" t="inlineStr"/>
    </row>
    <row r="23" ht="36" customHeight="1">
      <c r="A23" s="20" t="n">
        <v>15</v>
      </c>
      <c r="B23" s="21" t="inlineStr">
        <is>
          <t>VERİ GÜVENLİĞİ</t>
        </is>
      </c>
      <c r="C23" s="22" t="inlineStr">
        <is>
          <t>İdari güvenlik tedbirleri (politikalar, eğitimler) uygulanıyor mu?</t>
        </is>
      </c>
      <c r="D23" s="21" t="inlineStr">
        <is>
          <t>KVKK Md.12</t>
        </is>
      </c>
      <c r="E23" s="20" t="inlineStr"/>
      <c r="F23" s="21" t="inlineStr"/>
      <c r="G23" s="21" t="inlineStr"/>
      <c r="H23" s="20" t="inlineStr"/>
      <c r="I23" s="20" t="inlineStr">
        <is>
          <t>Kritik</t>
        </is>
      </c>
      <c r="J23" s="20" t="inlineStr">
        <is>
          <t>Yüksek</t>
        </is>
      </c>
      <c r="K23" s="21" t="inlineStr"/>
      <c r="L23" s="21" t="inlineStr"/>
    </row>
    <row r="24" ht="36" customHeight="1">
      <c r="A24" s="23" t="n">
        <v>16</v>
      </c>
      <c r="B24" s="24" t="inlineStr">
        <is>
          <t>VERİ GÜVENLİĞİ</t>
        </is>
      </c>
      <c r="C24" s="25" t="inlineStr">
        <is>
          <t>Veri ihlali müdahale planı (VIMP) hazırlanmış ve test edilmiş mi?</t>
        </is>
      </c>
      <c r="D24" s="24" t="inlineStr">
        <is>
          <t>KVKK Md.12</t>
        </is>
      </c>
      <c r="E24" s="23" t="inlineStr"/>
      <c r="F24" s="24" t="inlineStr"/>
      <c r="G24" s="24" t="inlineStr"/>
      <c r="H24" s="23" t="inlineStr"/>
      <c r="I24" s="23" t="inlineStr">
        <is>
          <t>Kritik</t>
        </is>
      </c>
      <c r="J24" s="23" t="inlineStr">
        <is>
          <t>Yüksek</t>
        </is>
      </c>
      <c r="K24" s="24" t="inlineStr"/>
      <c r="L24" s="24" t="inlineStr"/>
    </row>
    <row r="25" ht="36" customHeight="1">
      <c r="A25" s="20" t="n">
        <v>17</v>
      </c>
      <c r="B25" s="21" t="inlineStr">
        <is>
          <t>VERİ GÜVENLİĞİ</t>
        </is>
      </c>
      <c r="C25" s="22" t="inlineStr">
        <is>
          <t>Veri ihlali durumunda 72 saat içinde bildirim prosedürü var mı?</t>
        </is>
      </c>
      <c r="D25" s="21" t="inlineStr">
        <is>
          <t>KVKK Md.12 / Bildirim Yön.</t>
        </is>
      </c>
      <c r="E25" s="20" t="inlineStr"/>
      <c r="F25" s="21" t="inlineStr"/>
      <c r="G25" s="21" t="inlineStr"/>
      <c r="H25" s="20" t="inlineStr"/>
      <c r="I25" s="20" t="inlineStr">
        <is>
          <t>Kritik</t>
        </is>
      </c>
      <c r="J25" s="20" t="inlineStr">
        <is>
          <t>Yüksek</t>
        </is>
      </c>
      <c r="K25" s="21" t="inlineStr"/>
      <c r="L25" s="21" t="inlineStr"/>
    </row>
    <row r="26" ht="36" customHeight="1">
      <c r="A26" s="23" t="n">
        <v>18</v>
      </c>
      <c r="B26" s="24" t="inlineStr">
        <is>
          <t>VERİ GÜVENLİĞİ</t>
        </is>
      </c>
      <c r="C26" s="25" t="inlineStr">
        <is>
          <t>Erişim yetkileri düzenli gözden geçiriliyor mu?</t>
        </is>
      </c>
      <c r="D26" s="24" t="inlineStr">
        <is>
          <t>KVKK Md.12</t>
        </is>
      </c>
      <c r="E26" s="23" t="inlineStr"/>
      <c r="F26" s="24" t="inlineStr"/>
      <c r="G26" s="24" t="inlineStr"/>
      <c r="H26" s="23" t="inlineStr"/>
      <c r="I26" s="23" t="inlineStr">
        <is>
          <t>Yüksek</t>
        </is>
      </c>
      <c r="J26" s="23" t="inlineStr">
        <is>
          <t>Yüksek</t>
        </is>
      </c>
      <c r="K26" s="24" t="inlineStr"/>
      <c r="L26" s="24" t="inlineStr"/>
    </row>
    <row r="27" ht="36" customHeight="1">
      <c r="A27" s="20" t="n">
        <v>19</v>
      </c>
      <c r="B27" s="21" t="inlineStr">
        <is>
          <t>VERİ GÜVENLİĞİ</t>
        </is>
      </c>
      <c r="C27" s="22" t="inlineStr">
        <is>
          <t>Üçüncü taraf güvenlik testleri (penetrasyon testi) yapılıyor mu?</t>
        </is>
      </c>
      <c r="D27" s="21" t="inlineStr">
        <is>
          <t>KVKK Md.12</t>
        </is>
      </c>
      <c r="E27" s="20" t="inlineStr"/>
      <c r="F27" s="21" t="inlineStr"/>
      <c r="G27" s="21" t="inlineStr"/>
      <c r="H27" s="20" t="inlineStr"/>
      <c r="I27" s="20" t="inlineStr">
        <is>
          <t>Orta</t>
        </is>
      </c>
      <c r="J27" s="20" t="inlineStr">
        <is>
          <t>Orta</t>
        </is>
      </c>
      <c r="K27" s="21" t="inlineStr"/>
      <c r="L27" s="21" t="inlineStr"/>
    </row>
    <row r="28" ht="22" customHeight="1">
      <c r="A28" s="29" t="inlineStr">
        <is>
          <t xml:space="preserve">  ▸  VERİ AKTARIMI</t>
        </is>
      </c>
    </row>
    <row r="29">
      <c r="A29" s="23" t="n">
        <v>20</v>
      </c>
      <c r="B29" s="24" t="inlineStr">
        <is>
          <t>VERİ AKTARIMI</t>
        </is>
      </c>
      <c r="C29" s="25" t="inlineStr">
        <is>
          <t>Yurt içi veri aktarımlarında hukuki dayanak belirlenmiş mi?</t>
        </is>
      </c>
      <c r="D29" s="24" t="inlineStr">
        <is>
          <t>KVKK Md.8</t>
        </is>
      </c>
      <c r="E29" s="23" t="inlineStr"/>
      <c r="F29" s="24" t="inlineStr"/>
      <c r="G29" s="24" t="inlineStr"/>
      <c r="H29" s="23" t="inlineStr"/>
      <c r="I29" s="23" t="inlineStr">
        <is>
          <t>Kritik</t>
        </is>
      </c>
      <c r="J29" s="23" t="inlineStr">
        <is>
          <t>Yüksek</t>
        </is>
      </c>
      <c r="K29" s="24" t="inlineStr"/>
      <c r="L29" s="24" t="inlineStr"/>
    </row>
    <row r="30" ht="36" customHeight="1">
      <c r="A30" s="20" t="n">
        <v>21</v>
      </c>
      <c r="B30" s="21" t="inlineStr">
        <is>
          <t>VERİ AKTARIMI</t>
        </is>
      </c>
      <c r="C30" s="22" t="inlineStr">
        <is>
          <t>Yurt dışı veri aktarımı için KVKK Kurulu kararı veya taahhütname var mı?</t>
        </is>
      </c>
      <c r="D30" s="21" t="inlineStr">
        <is>
          <t>KVKK Md.9</t>
        </is>
      </c>
      <c r="E30" s="20" t="inlineStr"/>
      <c r="F30" s="21" t="inlineStr"/>
      <c r="G30" s="21" t="inlineStr"/>
      <c r="H30" s="20" t="inlineStr"/>
      <c r="I30" s="20" t="inlineStr">
        <is>
          <t>Kritik</t>
        </is>
      </c>
      <c r="J30" s="20" t="inlineStr">
        <is>
          <t>Yüksek</t>
        </is>
      </c>
      <c r="K30" s="21" t="inlineStr"/>
      <c r="L30" s="21" t="inlineStr"/>
    </row>
    <row r="31" ht="36" customHeight="1">
      <c r="A31" s="23" t="n">
        <v>22</v>
      </c>
      <c r="B31" s="24" t="inlineStr">
        <is>
          <t>VERİ AKTARIMI</t>
        </is>
      </c>
      <c r="C31" s="25" t="inlineStr">
        <is>
          <t>Bulut hizmet sağlayıcılarıyla veri işleme sözleşmesi imzalanmış mı?</t>
        </is>
      </c>
      <c r="D31" s="24" t="inlineStr">
        <is>
          <t>KVKK Md.8-9</t>
        </is>
      </c>
      <c r="E31" s="23" t="inlineStr"/>
      <c r="F31" s="24" t="inlineStr"/>
      <c r="G31" s="24" t="inlineStr"/>
      <c r="H31" s="23" t="inlineStr"/>
      <c r="I31" s="23" t="inlineStr">
        <is>
          <t>Kritik</t>
        </is>
      </c>
      <c r="J31" s="23" t="inlineStr">
        <is>
          <t>Yüksek</t>
        </is>
      </c>
      <c r="K31" s="24" t="inlineStr"/>
      <c r="L31" s="24" t="inlineStr"/>
    </row>
    <row r="32" ht="36" customHeight="1">
      <c r="A32" s="20" t="n">
        <v>23</v>
      </c>
      <c r="B32" s="21" t="inlineStr">
        <is>
          <t>VERİ AKTARIMI</t>
        </is>
      </c>
      <c r="C32" s="22" t="inlineStr">
        <is>
          <t>Yapay zeka platformlarına (ChatGPT vb.) veri aktarımı değerlendirilmiş mi?</t>
        </is>
      </c>
      <c r="D32" s="21" t="inlineStr">
        <is>
          <t>KVKK AI Rehberi 2025</t>
        </is>
      </c>
      <c r="E32" s="20" t="inlineStr"/>
      <c r="F32" s="21" t="inlineStr"/>
      <c r="G32" s="21" t="inlineStr"/>
      <c r="H32" s="20" t="inlineStr"/>
      <c r="I32" s="20" t="inlineStr">
        <is>
          <t>Kritik</t>
        </is>
      </c>
      <c r="J32" s="20" t="inlineStr">
        <is>
          <t>Yüksek</t>
        </is>
      </c>
      <c r="K32" s="21" t="inlineStr"/>
      <c r="L32" s="21" t="inlineStr"/>
    </row>
    <row r="33" ht="36" customHeight="1">
      <c r="A33" s="23" t="n">
        <v>24</v>
      </c>
      <c r="B33" s="24" t="inlineStr">
        <is>
          <t>VERİ AKTARIMI</t>
        </is>
      </c>
      <c r="C33" s="25" t="inlineStr">
        <is>
          <t>AI araçlarına aktarılan veriler için hukuki dayanak belirlenmiş mi?</t>
        </is>
      </c>
      <c r="D33" s="24" t="inlineStr">
        <is>
          <t>KVKK AI Rehberi 2025 Md.4-5</t>
        </is>
      </c>
      <c r="E33" s="23" t="inlineStr"/>
      <c r="F33" s="24" t="inlineStr"/>
      <c r="G33" s="24" t="inlineStr"/>
      <c r="H33" s="23" t="inlineStr"/>
      <c r="I33" s="23" t="inlineStr">
        <is>
          <t>Kritik</t>
        </is>
      </c>
      <c r="J33" s="23" t="inlineStr">
        <is>
          <t>Yüksek</t>
        </is>
      </c>
      <c r="K33" s="24" t="inlineStr"/>
      <c r="L33" s="24" t="inlineStr"/>
    </row>
    <row r="34" ht="22" customHeight="1">
      <c r="A34" s="30" t="inlineStr">
        <is>
          <t xml:space="preserve">  ▸  İLGİLİ KİŞİ HAKLARI</t>
        </is>
      </c>
    </row>
    <row r="35">
      <c r="A35" s="20" t="n">
        <v>25</v>
      </c>
      <c r="B35" s="21" t="inlineStr">
        <is>
          <t>İLGİLİ KİŞİ HAKLARI</t>
        </is>
      </c>
      <c r="C35" s="22" t="inlineStr">
        <is>
          <t>İlgili kişi başvuru formu/kanalı aktif ve erişilebilir mi?</t>
        </is>
      </c>
      <c r="D35" s="21" t="inlineStr">
        <is>
          <t>KVKK Md.11</t>
        </is>
      </c>
      <c r="E35" s="20" t="inlineStr"/>
      <c r="F35" s="21" t="inlineStr"/>
      <c r="G35" s="21" t="inlineStr"/>
      <c r="H35" s="20" t="inlineStr"/>
      <c r="I35" s="20" t="inlineStr">
        <is>
          <t>Kritik</t>
        </is>
      </c>
      <c r="J35" s="20" t="inlineStr">
        <is>
          <t>Yüksek</t>
        </is>
      </c>
      <c r="K35" s="21" t="inlineStr"/>
      <c r="L35" s="21" t="inlineStr"/>
    </row>
    <row r="36" ht="36" customHeight="1">
      <c r="A36" s="23" t="n">
        <v>26</v>
      </c>
      <c r="B36" s="24" t="inlineStr">
        <is>
          <t>İLGİLİ KİŞİ HAKLARI</t>
        </is>
      </c>
      <c r="C36" s="25" t="inlineStr">
        <is>
          <t>Başvurulara 30 gün içinde yanıt verme prosedürü işliyor mu?</t>
        </is>
      </c>
      <c r="D36" s="24" t="inlineStr">
        <is>
          <t>KVKK Md.13</t>
        </is>
      </c>
      <c r="E36" s="23" t="inlineStr"/>
      <c r="F36" s="24" t="inlineStr"/>
      <c r="G36" s="24" t="inlineStr"/>
      <c r="H36" s="23" t="inlineStr"/>
      <c r="I36" s="23" t="inlineStr">
        <is>
          <t>Kritik</t>
        </is>
      </c>
      <c r="J36" s="23" t="inlineStr">
        <is>
          <t>Yüksek</t>
        </is>
      </c>
      <c r="K36" s="24" t="inlineStr"/>
      <c r="L36" s="24" t="inlineStr"/>
    </row>
    <row r="37" ht="36" customHeight="1">
      <c r="A37" s="20" t="n">
        <v>27</v>
      </c>
      <c r="B37" s="21" t="inlineStr">
        <is>
          <t>İLGİLİ KİŞİ HAKLARI</t>
        </is>
      </c>
      <c r="C37" s="22" t="inlineStr">
        <is>
          <t>Silme/anonimleştirme talepleri için teknik altyapı hazır mı?</t>
        </is>
      </c>
      <c r="D37" s="21" t="inlineStr">
        <is>
          <t>KVKK Md.7,11</t>
        </is>
      </c>
      <c r="E37" s="20" t="inlineStr"/>
      <c r="F37" s="21" t="inlineStr"/>
      <c r="G37" s="21" t="inlineStr"/>
      <c r="H37" s="20" t="inlineStr"/>
      <c r="I37" s="20" t="inlineStr">
        <is>
          <t>Yüksek</t>
        </is>
      </c>
      <c r="J37" s="20" t="inlineStr">
        <is>
          <t>Yüksek</t>
        </is>
      </c>
      <c r="K37" s="21" t="inlineStr"/>
      <c r="L37" s="21" t="inlineStr"/>
    </row>
    <row r="38" ht="36" customHeight="1">
      <c r="A38" s="23" t="n">
        <v>28</v>
      </c>
      <c r="B38" s="24" t="inlineStr">
        <is>
          <t>İLGİLİ KİŞİ HAKLARI</t>
        </is>
      </c>
      <c r="C38" s="25" t="inlineStr">
        <is>
          <t>İlgili kişi başvuruları kayıt altına alınıyor mu?</t>
        </is>
      </c>
      <c r="D38" s="24" t="inlineStr">
        <is>
          <t>KVKK Md.13</t>
        </is>
      </c>
      <c r="E38" s="23" t="inlineStr"/>
      <c r="F38" s="24" t="inlineStr"/>
      <c r="G38" s="24" t="inlineStr"/>
      <c r="H38" s="23" t="inlineStr"/>
      <c r="I38" s="23" t="inlineStr">
        <is>
          <t>Yüksek</t>
        </is>
      </c>
      <c r="J38" s="23" t="inlineStr">
        <is>
          <t>Orta</t>
        </is>
      </c>
      <c r="K38" s="24" t="inlineStr"/>
      <c r="L38" s="24" t="inlineStr"/>
    </row>
    <row r="39" ht="22" customHeight="1">
      <c r="A39" s="31" t="inlineStr">
        <is>
          <t xml:space="preserve">  ▸  KURUM İÇİ YÖNETİŞİM</t>
        </is>
      </c>
    </row>
    <row r="40">
      <c r="A40" s="20" t="n">
        <v>29</v>
      </c>
      <c r="B40" s="21" t="inlineStr">
        <is>
          <t>KURUM İÇİ YÖNETİŞİM</t>
        </is>
      </c>
      <c r="C40" s="22" t="inlineStr">
        <is>
          <t>KVKK Koordinatörü / DPO atanmış mı?</t>
        </is>
      </c>
      <c r="D40" s="21" t="inlineStr">
        <is>
          <t>KVKK Md.12</t>
        </is>
      </c>
      <c r="E40" s="20" t="inlineStr"/>
      <c r="F40" s="21" t="inlineStr"/>
      <c r="G40" s="21" t="inlineStr"/>
      <c r="H40" s="20" t="inlineStr"/>
      <c r="I40" s="20" t="inlineStr">
        <is>
          <t>Kritik</t>
        </is>
      </c>
      <c r="J40" s="20" t="inlineStr">
        <is>
          <t>Yüksek</t>
        </is>
      </c>
      <c r="K40" s="21" t="inlineStr"/>
      <c r="L40" s="21" t="inlineStr"/>
    </row>
    <row r="41" ht="36" customHeight="1">
      <c r="A41" s="23" t="n">
        <v>30</v>
      </c>
      <c r="B41" s="24" t="inlineStr">
        <is>
          <t>KURUM İÇİ YÖNETİŞİM</t>
        </is>
      </c>
      <c r="C41" s="25" t="inlineStr">
        <is>
          <t>Çalışan KVKK farkındalık eğitimi yıllık yapılıyor mu?</t>
        </is>
      </c>
      <c r="D41" s="24" t="inlineStr">
        <is>
          <t>KVKK Md.12</t>
        </is>
      </c>
      <c r="E41" s="23" t="inlineStr"/>
      <c r="F41" s="24" t="inlineStr"/>
      <c r="G41" s="24" t="inlineStr"/>
      <c r="H41" s="23" t="inlineStr"/>
      <c r="I41" s="23" t="inlineStr">
        <is>
          <t>Yüksek</t>
        </is>
      </c>
      <c r="J41" s="23" t="inlineStr">
        <is>
          <t>Orta</t>
        </is>
      </c>
      <c r="K41" s="24" t="inlineStr"/>
      <c r="L41" s="24" t="inlineStr"/>
    </row>
    <row r="42" ht="36" customHeight="1">
      <c r="A42" s="20" t="n">
        <v>31</v>
      </c>
      <c r="B42" s="21" t="inlineStr">
        <is>
          <t>KURUM İÇİ YÖNETİŞİM</t>
        </is>
      </c>
      <c r="C42" s="22" t="inlineStr">
        <is>
          <t>Kişisel Veri İşleme ve Koruma Politikası yayımlanmış mı?</t>
        </is>
      </c>
      <c r="D42" s="21" t="inlineStr">
        <is>
          <t>KVKK Md.12</t>
        </is>
      </c>
      <c r="E42" s="20" t="inlineStr"/>
      <c r="F42" s="21" t="inlineStr"/>
      <c r="G42" s="21" t="inlineStr"/>
      <c r="H42" s="20" t="inlineStr"/>
      <c r="I42" s="20" t="inlineStr">
        <is>
          <t>Yüksek</t>
        </is>
      </c>
      <c r="J42" s="20" t="inlineStr">
        <is>
          <t>Orta</t>
        </is>
      </c>
      <c r="K42" s="21" t="inlineStr"/>
      <c r="L42" s="21" t="inlineStr"/>
    </row>
    <row r="43" ht="36" customHeight="1">
      <c r="A43" s="23" t="n">
        <v>32</v>
      </c>
      <c r="B43" s="24" t="inlineStr">
        <is>
          <t>KURUM İÇİ YÖNETİŞİM</t>
        </is>
      </c>
      <c r="C43" s="25" t="inlineStr">
        <is>
          <t>Uyum durumu en az yılda bir üst yönetime raporlanıyor mu?</t>
        </is>
      </c>
      <c r="D43" s="24" t="inlineStr">
        <is>
          <t>KVKK Md.12</t>
        </is>
      </c>
      <c r="E43" s="23" t="inlineStr"/>
      <c r="F43" s="24" t="inlineStr"/>
      <c r="G43" s="24" t="inlineStr"/>
      <c r="H43" s="23" t="inlineStr"/>
      <c r="I43" s="23" t="inlineStr">
        <is>
          <t>Orta</t>
        </is>
      </c>
      <c r="J43" s="23" t="inlineStr">
        <is>
          <t>Orta</t>
        </is>
      </c>
      <c r="K43" s="24" t="inlineStr"/>
      <c r="L43" s="24" t="inlineStr"/>
    </row>
    <row r="44" ht="36" customHeight="1">
      <c r="A44" s="20" t="n">
        <v>33</v>
      </c>
      <c r="B44" s="21" t="inlineStr">
        <is>
          <t>KURUM İÇİ YÖNETİŞİM</t>
        </is>
      </c>
      <c r="C44" s="22" t="inlineStr">
        <is>
          <t>Tedarikçi KVKK uyum değerlendirmesi yapılıyor mu?</t>
        </is>
      </c>
      <c r="D44" s="21" t="inlineStr">
        <is>
          <t>KVKK Md.8</t>
        </is>
      </c>
      <c r="E44" s="20" t="inlineStr"/>
      <c r="F44" s="21" t="inlineStr"/>
      <c r="G44" s="21" t="inlineStr"/>
      <c r="H44" s="20" t="inlineStr"/>
      <c r="I44" s="20" t="inlineStr">
        <is>
          <t>Yüksek</t>
        </is>
      </c>
      <c r="J44" s="20" t="inlineStr">
        <is>
          <t>Orta</t>
        </is>
      </c>
      <c r="K44" s="21" t="inlineStr"/>
      <c r="L44" s="21" t="inlineStr"/>
    </row>
  </sheetData>
  <mergeCells count="9">
    <mergeCell ref="A2:L2"/>
    <mergeCell ref="A16:L16"/>
    <mergeCell ref="A11:L11"/>
    <mergeCell ref="A1:L1"/>
    <mergeCell ref="A5:L5"/>
    <mergeCell ref="A28:L28"/>
    <mergeCell ref="A21:L21"/>
    <mergeCell ref="A39:L39"/>
    <mergeCell ref="A34:L34"/>
  </mergeCells>
  <conditionalFormatting sqref="E5:E45">
    <cfRule type="cellIs" priority="1" operator="equal" dxfId="0">
      <formula>"✅ Evet"</formula>
    </cfRule>
    <cfRule type="cellIs" priority="2" operator="equal" dxfId="1">
      <formula>"❌ Hayır"</formula>
    </cfRule>
    <cfRule type="cellIs" priority="3" operator="equal" dxfId="2">
      <formula>"⚠️ Kısmen"</formula>
    </cfRule>
  </conditionalFormatting>
  <conditionalFormatting sqref="I5:I45">
    <cfRule type="cellIs" priority="4" operator="equal" dxfId="1">
      <formula>"Kritik"</formula>
    </cfRule>
    <cfRule type="cellIs" priority="5" operator="equal" dxfId="2">
      <formula>"Yüksek"</formula>
    </cfRule>
  </conditionalFormatting>
  <dataValidations count="33">
    <dataValidation sqref="E6" showDropDown="0" showInputMessage="0" showErrorMessage="0" allowBlank="1" type="list">
      <formula1>"✅ Evet,⚠️ Kısmen,❌ Hayır,⬜ Değerlendirilmedi"</formula1>
    </dataValidation>
    <dataValidation sqref="E7" showDropDown="0" showInputMessage="0" showErrorMessage="0" allowBlank="1" type="list">
      <formula1>"✅ Evet,⚠️ Kısmen,❌ Hayır,⬜ Değerlendirilmedi"</formula1>
    </dataValidation>
    <dataValidation sqref="E8" showDropDown="0" showInputMessage="0" showErrorMessage="0" allowBlank="1" type="list">
      <formula1>"✅ Evet,⚠️ Kısmen,❌ Hayır,⬜ Değerlendirilmedi"</formula1>
    </dataValidation>
    <dataValidation sqref="E9" showDropDown="0" showInputMessage="0" showErrorMessage="0" allowBlank="1" type="list">
      <formula1>"✅ Evet,⚠️ Kısmen,❌ Hayır,⬜ Değerlendirilmedi"</formula1>
    </dataValidation>
    <dataValidation sqref="E10" showDropDown="0" showInputMessage="0" showErrorMessage="0" allowBlank="1" type="list">
      <formula1>"✅ Evet,⚠️ Kısmen,❌ Hayır,⬜ Değerlendirilmedi"</formula1>
    </dataValidation>
    <dataValidation sqref="E12" showDropDown="0" showInputMessage="0" showErrorMessage="0" allowBlank="1" type="list">
      <formula1>"✅ Evet,⚠️ Kısmen,❌ Hayır,⬜ Değerlendirilmedi"</formula1>
    </dataValidation>
    <dataValidation sqref="E13" showDropDown="0" showInputMessage="0" showErrorMessage="0" allowBlank="1" type="list">
      <formula1>"✅ Evet,⚠️ Kısmen,❌ Hayır,⬜ Değerlendirilmedi"</formula1>
    </dataValidation>
    <dataValidation sqref="E14" showDropDown="0" showInputMessage="0" showErrorMessage="0" allowBlank="1" type="list">
      <formula1>"✅ Evet,⚠️ Kısmen,❌ Hayır,⬜ Değerlendirilmedi"</formula1>
    </dataValidation>
    <dataValidation sqref="E15" showDropDown="0" showInputMessage="0" showErrorMessage="0" allowBlank="1" type="list">
      <formula1>"✅ Evet,⚠️ Kısmen,❌ Hayır,⬜ Değerlendirilmedi"</formula1>
    </dataValidation>
    <dataValidation sqref="E17" showDropDown="0" showInputMessage="0" showErrorMessage="0" allowBlank="1" type="list">
      <formula1>"✅ Evet,⚠️ Kısmen,❌ Hayır,⬜ Değerlendirilmedi"</formula1>
    </dataValidation>
    <dataValidation sqref="E18" showDropDown="0" showInputMessage="0" showErrorMessage="0" allowBlank="1" type="list">
      <formula1>"✅ Evet,⚠️ Kısmen,❌ Hayır,⬜ Değerlendirilmedi"</formula1>
    </dataValidation>
    <dataValidation sqref="E19" showDropDown="0" showInputMessage="0" showErrorMessage="0" allowBlank="1" type="list">
      <formula1>"✅ Evet,⚠️ Kısmen,❌ Hayır,⬜ Değerlendirilmedi"</formula1>
    </dataValidation>
    <dataValidation sqref="E20" showDropDown="0" showInputMessage="0" showErrorMessage="0" allowBlank="1" type="list">
      <formula1>"✅ Evet,⚠️ Kısmen,❌ Hayır,⬜ Değerlendirilmedi"</formula1>
    </dataValidation>
    <dataValidation sqref="E22" showDropDown="0" showInputMessage="0" showErrorMessage="0" allowBlank="1" type="list">
      <formula1>"✅ Evet,⚠️ Kısmen,❌ Hayır,⬜ Değerlendirilmedi"</formula1>
    </dataValidation>
    <dataValidation sqref="E23" showDropDown="0" showInputMessage="0" showErrorMessage="0" allowBlank="1" type="list">
      <formula1>"✅ Evet,⚠️ Kısmen,❌ Hayır,⬜ Değerlendirilmedi"</formula1>
    </dataValidation>
    <dataValidation sqref="E24" showDropDown="0" showInputMessage="0" showErrorMessage="0" allowBlank="1" type="list">
      <formula1>"✅ Evet,⚠️ Kısmen,❌ Hayır,⬜ Değerlendirilmedi"</formula1>
    </dataValidation>
    <dataValidation sqref="E25" showDropDown="0" showInputMessage="0" showErrorMessage="0" allowBlank="1" type="list">
      <formula1>"✅ Evet,⚠️ Kısmen,❌ Hayır,⬜ Değerlendirilmedi"</formula1>
    </dataValidation>
    <dataValidation sqref="E26" showDropDown="0" showInputMessage="0" showErrorMessage="0" allowBlank="1" type="list">
      <formula1>"✅ Evet,⚠️ Kısmen,❌ Hayır,⬜ Değerlendirilmedi"</formula1>
    </dataValidation>
    <dataValidation sqref="E27" showDropDown="0" showInputMessage="0" showErrorMessage="0" allowBlank="1" type="list">
      <formula1>"✅ Evet,⚠️ Kısmen,❌ Hayır,⬜ Değerlendirilmedi"</formula1>
    </dataValidation>
    <dataValidation sqref="E29" showDropDown="0" showInputMessage="0" showErrorMessage="0" allowBlank="1" type="list">
      <formula1>"✅ Evet,⚠️ Kısmen,❌ Hayır,⬜ Değerlendirilmedi"</formula1>
    </dataValidation>
    <dataValidation sqref="E30" showDropDown="0" showInputMessage="0" showErrorMessage="0" allowBlank="1" type="list">
      <formula1>"✅ Evet,⚠️ Kısmen,❌ Hayır,⬜ Değerlendirilmedi"</formula1>
    </dataValidation>
    <dataValidation sqref="E31" showDropDown="0" showInputMessage="0" showErrorMessage="0" allowBlank="1" type="list">
      <formula1>"✅ Evet,⚠️ Kısmen,❌ Hayır,⬜ Değerlendirilmedi"</formula1>
    </dataValidation>
    <dataValidation sqref="E32" showDropDown="0" showInputMessage="0" showErrorMessage="0" allowBlank="1" type="list">
      <formula1>"✅ Evet,⚠️ Kısmen,❌ Hayır,⬜ Değerlendirilmedi"</formula1>
    </dataValidation>
    <dataValidation sqref="E33" showDropDown="0" showInputMessage="0" showErrorMessage="0" allowBlank="1" type="list">
      <formula1>"✅ Evet,⚠️ Kısmen,❌ Hayır,⬜ Değerlendirilmedi"</formula1>
    </dataValidation>
    <dataValidation sqref="E35" showDropDown="0" showInputMessage="0" showErrorMessage="0" allowBlank="1" type="list">
      <formula1>"✅ Evet,⚠️ Kısmen,❌ Hayır,⬜ Değerlendirilmedi"</formula1>
    </dataValidation>
    <dataValidation sqref="E36" showDropDown="0" showInputMessage="0" showErrorMessage="0" allowBlank="1" type="list">
      <formula1>"✅ Evet,⚠️ Kısmen,❌ Hayır,⬜ Değerlendirilmedi"</formula1>
    </dataValidation>
    <dataValidation sqref="E37" showDropDown="0" showInputMessage="0" showErrorMessage="0" allowBlank="1" type="list">
      <formula1>"✅ Evet,⚠️ Kısmen,❌ Hayır,⬜ Değerlendirilmedi"</formula1>
    </dataValidation>
    <dataValidation sqref="E38" showDropDown="0" showInputMessage="0" showErrorMessage="0" allowBlank="1" type="list">
      <formula1>"✅ Evet,⚠️ Kısmen,❌ Hayır,⬜ Değerlendirilmedi"</formula1>
    </dataValidation>
    <dataValidation sqref="E40" showDropDown="0" showInputMessage="0" showErrorMessage="0" allowBlank="1" type="list">
      <formula1>"✅ Evet,⚠️ Kısmen,❌ Hayır,⬜ Değerlendirilmedi"</formula1>
    </dataValidation>
    <dataValidation sqref="E41" showDropDown="0" showInputMessage="0" showErrorMessage="0" allowBlank="1" type="list">
      <formula1>"✅ Evet,⚠️ Kısmen,❌ Hayır,⬜ Değerlendirilmedi"</formula1>
    </dataValidation>
    <dataValidation sqref="E42" showDropDown="0" showInputMessage="0" showErrorMessage="0" allowBlank="1" type="list">
      <formula1>"✅ Evet,⚠️ Kısmen,❌ Hayır,⬜ Değerlendirilmedi"</formula1>
    </dataValidation>
    <dataValidation sqref="E43" showDropDown="0" showInputMessage="0" showErrorMessage="0" allowBlank="1" type="list">
      <formula1>"✅ Evet,⚠️ Kısmen,❌ Hayır,⬜ Değerlendirilmedi"</formula1>
    </dataValidation>
    <dataValidation sqref="E44" showDropDown="0" showInputMessage="0" showErrorMessage="0" allowBlank="1" type="list">
      <formula1>"✅ Evet,⚠️ Kısmen,❌ Hayır,⬜ Değerlendirilmedi"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4" customWidth="1" min="5" max="5"/>
    <col width="2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32" t="inlineStr">
        <is>
          <t>THE GOVERNANCE  ·  KVKK UYUM SKORU GÖSTERGESİ</t>
        </is>
      </c>
    </row>
    <row r="2">
      <c r="A2" s="17" t="inlineStr">
        <is>
          <t>Değerlendirme sekmesindeki yanıtlarınıza göre otomatik hesaplanır</t>
        </is>
      </c>
    </row>
    <row r="3" ht="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2" customHeight="1">
      <c r="A4" s="33" t="inlineStr">
        <is>
          <t>TOPLAM MADDE</t>
        </is>
      </c>
      <c r="C4" s="1" t="n"/>
      <c r="D4" s="34" t="inlineStr">
        <is>
          <t>✅ EVET</t>
        </is>
      </c>
      <c r="F4" s="1" t="n"/>
      <c r="G4" s="35" t="inlineStr">
        <is>
          <t>⚠️ KISMİ</t>
        </is>
      </c>
      <c r="I4" s="1" t="n"/>
      <c r="J4" s="36" t="inlineStr">
        <is>
          <t>❌ HAYIR</t>
        </is>
      </c>
      <c r="L4" s="1" t="n"/>
      <c r="M4" s="1" t="n"/>
    </row>
    <row r="5" ht="28" customHeight="1">
      <c r="A5" s="37">
        <f>COUNTA('✅ Değerlendirme'!C5:C44)</f>
        <v/>
      </c>
      <c r="C5" s="1" t="n"/>
      <c r="D5" s="38">
        <f>COUNTIF('✅ Değerlendirme'!E5:E44,"✅ Evet")</f>
        <v/>
      </c>
      <c r="F5" s="1" t="n"/>
      <c r="G5" s="39">
        <f>COUNTIF('✅ Değerlendirme'!E5:E44,"⚠️ Kısmen")</f>
        <v/>
      </c>
      <c r="I5" s="1" t="n"/>
      <c r="J5" s="40">
        <f>COUNTIF('✅ Değerlendirme'!E5:E44,"❌ Hayır")</f>
        <v/>
      </c>
      <c r="L5" s="1" t="n"/>
      <c r="M5" s="1" t="n"/>
    </row>
    <row r="6" ht="28" customHeight="1">
      <c r="C6" s="1" t="n"/>
      <c r="F6" s="1" t="n"/>
      <c r="I6" s="1" t="n"/>
      <c r="L6" s="1" t="n"/>
      <c r="M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 ht="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41" t="inlineStr">
        <is>
          <t>GENEL UYUM SKORU</t>
        </is>
      </c>
      <c r="E9" s="1" t="n"/>
      <c r="F9" s="11" t="inlineStr">
        <is>
          <t>KATEGORİ BAZLI DURUM</t>
        </is>
      </c>
    </row>
    <row r="10" ht="20" customHeight="1">
      <c r="A10" s="42">
        <f>IFERROR(TEXT(COUNTIF('✅ Değerlendirme'!E5:E44,"✅ Evet")/COUNTA('✅ Değerlendirme'!E5:E44),"0%"),"—")</f>
        <v/>
      </c>
      <c r="E10" s="1" t="n"/>
      <c r="F10" s="43" t="inlineStr">
        <is>
          <t>Veri Envanteri</t>
        </is>
      </c>
      <c r="J10" s="44">
        <f>COUNTIF('✅ Değerlendirme'!E6:E10,"✅ Evet")</f>
        <v/>
      </c>
      <c r="K10" s="44">
        <f>COUNTIF('✅ Değerlendirme'!E6:E10,"⚠️ Kısmen")</f>
        <v/>
      </c>
      <c r="L10" s="44">
        <f>COUNTIF('✅ Değerlendirme'!E6:E10,"❌ Hayır")</f>
        <v/>
      </c>
      <c r="M10" s="1" t="n"/>
    </row>
    <row r="11" ht="20" customHeight="1">
      <c r="E11" s="1" t="n"/>
      <c r="F11" s="45" t="inlineStr">
        <is>
          <t>Aydınlatma</t>
        </is>
      </c>
      <c r="J11" s="46">
        <f>COUNTIF('✅ Değerlendirme'!E12:E15,"✅ Evet")</f>
        <v/>
      </c>
      <c r="K11" s="46">
        <f>COUNTIF('✅ Değerlendirme'!E12:E15,"⚠️ Kısmen")</f>
        <v/>
      </c>
      <c r="L11" s="46">
        <f>COUNTIF('✅ Değerlendirme'!E12:E15,"❌ Hayır")</f>
        <v/>
      </c>
      <c r="M11" s="1" t="n"/>
    </row>
    <row r="12" ht="20" customHeight="1">
      <c r="E12" s="1" t="n"/>
      <c r="F12" s="43" t="inlineStr">
        <is>
          <t>Açık Rıza</t>
        </is>
      </c>
      <c r="J12" s="44">
        <f>COUNTIF('✅ Değerlendirme'!E17:E20,"✅ Evet")</f>
        <v/>
      </c>
      <c r="K12" s="44">
        <f>COUNTIF('✅ Değerlendirme'!E17:E20,"⚠️ Kısmen")</f>
        <v/>
      </c>
      <c r="L12" s="44">
        <f>COUNTIF('✅ Değerlendirme'!E17:E20,"❌ Hayır")</f>
        <v/>
      </c>
      <c r="M12" s="1" t="n"/>
    </row>
    <row r="13" ht="20" customHeight="1">
      <c r="A13" s="1" t="n"/>
      <c r="B13" s="1" t="n"/>
      <c r="C13" s="1" t="n"/>
      <c r="D13" s="1" t="n"/>
      <c r="E13" s="1" t="n"/>
      <c r="F13" s="45" t="inlineStr">
        <is>
          <t>Veri Güvenliği</t>
        </is>
      </c>
      <c r="J13" s="46">
        <f>COUNTIF('✅ Değerlendirme'!E22:E27,"✅ Evet")</f>
        <v/>
      </c>
      <c r="K13" s="46">
        <f>COUNTIF('✅ Değerlendirme'!E22:E27,"⚠️ Kısmen")</f>
        <v/>
      </c>
      <c r="L13" s="46">
        <f>COUNTIF('✅ Değerlendirme'!E22:E27,"❌ Hayır")</f>
        <v/>
      </c>
      <c r="M13" s="1" t="n"/>
    </row>
    <row r="14" ht="20" customHeight="1">
      <c r="A14" s="1" t="n"/>
      <c r="B14" s="1" t="n"/>
      <c r="C14" s="1" t="n"/>
      <c r="D14" s="1" t="n"/>
      <c r="E14" s="1" t="n"/>
      <c r="F14" s="43" t="inlineStr">
        <is>
          <t>Veri Aktarımı</t>
        </is>
      </c>
      <c r="J14" s="44">
        <f>COUNTIF('✅ Değerlendirme'!E29:E33,"✅ Evet")</f>
        <v/>
      </c>
      <c r="K14" s="44">
        <f>COUNTIF('✅ Değerlendirme'!E29:E33,"⚠️ Kısmen")</f>
        <v/>
      </c>
      <c r="L14" s="44">
        <f>COUNTIF('✅ Değerlendirme'!E29:E33,"❌ Hayır")</f>
        <v/>
      </c>
      <c r="M14" s="1" t="n"/>
    </row>
    <row r="15" ht="20" customHeight="1">
      <c r="A15" s="1" t="n"/>
      <c r="B15" s="1" t="n"/>
      <c r="C15" s="1" t="n"/>
      <c r="D15" s="1" t="n"/>
      <c r="E15" s="1" t="n"/>
      <c r="F15" s="45" t="inlineStr">
        <is>
          <t>İlgili Kişi Hakları</t>
        </is>
      </c>
      <c r="J15" s="46">
        <f>COUNTIF('✅ Değerlendirme'!E35:E38,"✅ Evet")</f>
        <v/>
      </c>
      <c r="K15" s="46">
        <f>COUNTIF('✅ Değerlendirme'!E35:E38,"⚠️ Kısmen")</f>
        <v/>
      </c>
      <c r="L15" s="46">
        <f>COUNTIF('✅ Değerlendirme'!E35:E38,"❌ Hayır")</f>
        <v/>
      </c>
      <c r="M15" s="1" t="n"/>
    </row>
    <row r="16" ht="20" customHeight="1">
      <c r="A16" s="1" t="n"/>
      <c r="B16" s="1" t="n"/>
      <c r="C16" s="1" t="n"/>
      <c r="D16" s="1" t="n"/>
      <c r="E16" s="1" t="n"/>
      <c r="F16" s="43" t="inlineStr">
        <is>
          <t>Kurum İçi Yönetişim</t>
        </is>
      </c>
      <c r="J16" s="44">
        <f>COUNTIF('✅ Değerlendirme'!E40:E44,"✅ Evet")</f>
        <v/>
      </c>
      <c r="K16" s="44">
        <f>COUNTIF('✅ Değerlendirme'!E40:E44,"⚠️ Kısmen")</f>
        <v/>
      </c>
      <c r="L16" s="44">
        <f>COUNTIF('✅ Değerlendirme'!E40:E44,"❌ Hayır")</f>
        <v/>
      </c>
      <c r="M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</sheetData>
  <mergeCells count="20">
    <mergeCell ref="F13:I13"/>
    <mergeCell ref="A5:B6"/>
    <mergeCell ref="G5:H6"/>
    <mergeCell ref="F14:I14"/>
    <mergeCell ref="A9:D9"/>
    <mergeCell ref="F11:I11"/>
    <mergeCell ref="A10:D12"/>
    <mergeCell ref="D5:E6"/>
    <mergeCell ref="F16:I16"/>
    <mergeCell ref="J5:K6"/>
    <mergeCell ref="F10:I10"/>
    <mergeCell ref="J4:K4"/>
    <mergeCell ref="A1:M1"/>
    <mergeCell ref="F12:I12"/>
    <mergeCell ref="F15:I15"/>
    <mergeCell ref="D4:E4"/>
    <mergeCell ref="A4:B4"/>
    <mergeCell ref="G4:H4"/>
    <mergeCell ref="F9:M9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30" customWidth="1" min="4" max="4"/>
    <col width="40" customWidth="1" min="5" max="5"/>
    <col width="16" customWidth="1" min="6" max="6"/>
    <col width="12" customWidth="1" min="7" max="7"/>
    <col width="12" customWidth="1" min="8" max="8"/>
    <col width="14" customWidth="1" min="9" max="9"/>
    <col width="28" customWidth="1" min="10" max="10"/>
  </cols>
  <sheetData>
    <row r="1">
      <c r="A1" s="16" t="inlineStr">
        <is>
          <t>THE GOVERNANCE  ·  KVKK UYUM AKSİYON PLANI</t>
        </is>
      </c>
    </row>
    <row r="2">
      <c r="A2" s="17" t="inlineStr">
        <is>
          <t>Hayır veya Kısmen yanıtlanan maddeler için aksiyon, sorumlu ve takvim girin</t>
        </is>
      </c>
    </row>
    <row r="3" ht="28" customHeight="1">
      <c r="A3" s="18" t="inlineStr">
        <is>
          <t>#</t>
        </is>
      </c>
      <c r="B3" s="18" t="inlineStr">
        <is>
          <t>KATEGORİ</t>
        </is>
      </c>
      <c r="C3" s="18" t="inlineStr">
        <is>
          <t>KONTROL MADDESİ</t>
        </is>
      </c>
      <c r="D3" s="18" t="inlineStr">
        <is>
          <t>GAP / SORUN</t>
        </is>
      </c>
      <c r="E3" s="18" t="inlineStr">
        <is>
          <t>AKSİYON PLANI</t>
        </is>
      </c>
      <c r="F3" s="18" t="inlineStr">
        <is>
          <t>SORUMLU</t>
        </is>
      </c>
      <c r="G3" s="18" t="inlineStr">
        <is>
          <t>BAŞLANGIÇ</t>
        </is>
      </c>
      <c r="H3" s="18" t="inlineStr">
        <is>
          <t>BİTİŞ</t>
        </is>
      </c>
      <c r="I3" s="18" t="inlineStr">
        <is>
          <t>DURUM</t>
        </is>
      </c>
      <c r="J3" s="18" t="inlineStr">
        <is>
          <t>NOTLAR</t>
        </is>
      </c>
    </row>
    <row r="4" ht="32" customHeight="1">
      <c r="A4" s="47" t="n">
        <v>1</v>
      </c>
      <c r="B4" s="48" t="n"/>
      <c r="C4" s="48" t="n"/>
      <c r="D4" s="48" t="n"/>
      <c r="E4" s="48" t="n"/>
      <c r="F4" s="47" t="n"/>
      <c r="G4" s="47" t="n"/>
      <c r="H4" s="47" t="n"/>
      <c r="I4" s="47" t="n"/>
      <c r="J4" s="48" t="n"/>
    </row>
    <row r="5" ht="32" customHeight="1">
      <c r="A5" s="49" t="n">
        <v>2</v>
      </c>
      <c r="B5" s="50" t="n"/>
      <c r="C5" s="50" t="n"/>
      <c r="D5" s="50" t="n"/>
      <c r="E5" s="50" t="n"/>
      <c r="F5" s="49" t="n"/>
      <c r="G5" s="49" t="n"/>
      <c r="H5" s="49" t="n"/>
      <c r="I5" s="49" t="n"/>
      <c r="J5" s="50" t="n"/>
    </row>
    <row r="6" ht="32" customHeight="1">
      <c r="A6" s="47" t="n">
        <v>3</v>
      </c>
      <c r="B6" s="48" t="n"/>
      <c r="C6" s="48" t="n"/>
      <c r="D6" s="48" t="n"/>
      <c r="E6" s="48" t="n"/>
      <c r="F6" s="47" t="n"/>
      <c r="G6" s="47" t="n"/>
      <c r="H6" s="47" t="n"/>
      <c r="I6" s="47" t="n"/>
      <c r="J6" s="48" t="n"/>
    </row>
    <row r="7" ht="32" customHeight="1">
      <c r="A7" s="49" t="n">
        <v>4</v>
      </c>
      <c r="B7" s="50" t="n"/>
      <c r="C7" s="50" t="n"/>
      <c r="D7" s="50" t="n"/>
      <c r="E7" s="50" t="n"/>
      <c r="F7" s="49" t="n"/>
      <c r="G7" s="49" t="n"/>
      <c r="H7" s="49" t="n"/>
      <c r="I7" s="49" t="n"/>
      <c r="J7" s="50" t="n"/>
    </row>
    <row r="8" ht="32" customHeight="1">
      <c r="A8" s="47" t="n">
        <v>5</v>
      </c>
      <c r="B8" s="48" t="n"/>
      <c r="C8" s="48" t="n"/>
      <c r="D8" s="48" t="n"/>
      <c r="E8" s="48" t="n"/>
      <c r="F8" s="47" t="n"/>
      <c r="G8" s="47" t="n"/>
      <c r="H8" s="47" t="n"/>
      <c r="I8" s="47" t="n"/>
      <c r="J8" s="48" t="n"/>
    </row>
    <row r="9" ht="32" customHeight="1">
      <c r="A9" s="49" t="n">
        <v>6</v>
      </c>
      <c r="B9" s="50" t="n"/>
      <c r="C9" s="50" t="n"/>
      <c r="D9" s="50" t="n"/>
      <c r="E9" s="50" t="n"/>
      <c r="F9" s="49" t="n"/>
      <c r="G9" s="49" t="n"/>
      <c r="H9" s="49" t="n"/>
      <c r="I9" s="49" t="n"/>
      <c r="J9" s="50" t="n"/>
    </row>
    <row r="10" ht="32" customHeight="1">
      <c r="A10" s="47" t="n">
        <v>7</v>
      </c>
      <c r="B10" s="48" t="n"/>
      <c r="C10" s="48" t="n"/>
      <c r="D10" s="48" t="n"/>
      <c r="E10" s="48" t="n"/>
      <c r="F10" s="47" t="n"/>
      <c r="G10" s="47" t="n"/>
      <c r="H10" s="47" t="n"/>
      <c r="I10" s="47" t="n"/>
      <c r="J10" s="48" t="n"/>
    </row>
    <row r="11" ht="32" customHeight="1">
      <c r="A11" s="49" t="n">
        <v>8</v>
      </c>
      <c r="B11" s="50" t="n"/>
      <c r="C11" s="50" t="n"/>
      <c r="D11" s="50" t="n"/>
      <c r="E11" s="50" t="n"/>
      <c r="F11" s="49" t="n"/>
      <c r="G11" s="49" t="n"/>
      <c r="H11" s="49" t="n"/>
      <c r="I11" s="49" t="n"/>
      <c r="J11" s="50" t="n"/>
    </row>
    <row r="12" ht="32" customHeight="1">
      <c r="A12" s="47" t="n">
        <v>9</v>
      </c>
      <c r="B12" s="48" t="n"/>
      <c r="C12" s="48" t="n"/>
      <c r="D12" s="48" t="n"/>
      <c r="E12" s="48" t="n"/>
      <c r="F12" s="47" t="n"/>
      <c r="G12" s="47" t="n"/>
      <c r="H12" s="47" t="n"/>
      <c r="I12" s="47" t="n"/>
      <c r="J12" s="48" t="n"/>
    </row>
    <row r="13" ht="32" customHeight="1">
      <c r="A13" s="49" t="n">
        <v>10</v>
      </c>
      <c r="B13" s="50" t="n"/>
      <c r="C13" s="50" t="n"/>
      <c r="D13" s="50" t="n"/>
      <c r="E13" s="50" t="n"/>
      <c r="F13" s="49" t="n"/>
      <c r="G13" s="49" t="n"/>
      <c r="H13" s="49" t="n"/>
      <c r="I13" s="49" t="n"/>
      <c r="J13" s="50" t="n"/>
    </row>
    <row r="14" ht="32" customHeight="1">
      <c r="A14" s="47" t="n">
        <v>11</v>
      </c>
      <c r="B14" s="48" t="n"/>
      <c r="C14" s="48" t="n"/>
      <c r="D14" s="48" t="n"/>
      <c r="E14" s="48" t="n"/>
      <c r="F14" s="47" t="n"/>
      <c r="G14" s="47" t="n"/>
      <c r="H14" s="47" t="n"/>
      <c r="I14" s="47" t="n"/>
      <c r="J14" s="48" t="n"/>
    </row>
    <row r="15" ht="32" customHeight="1">
      <c r="A15" s="49" t="n">
        <v>12</v>
      </c>
      <c r="B15" s="50" t="n"/>
      <c r="C15" s="50" t="n"/>
      <c r="D15" s="50" t="n"/>
      <c r="E15" s="50" t="n"/>
      <c r="F15" s="49" t="n"/>
      <c r="G15" s="49" t="n"/>
      <c r="H15" s="49" t="n"/>
      <c r="I15" s="49" t="n"/>
      <c r="J15" s="50" t="n"/>
    </row>
    <row r="16" ht="32" customHeight="1">
      <c r="A16" s="47" t="n">
        <v>13</v>
      </c>
      <c r="B16" s="48" t="n"/>
      <c r="C16" s="48" t="n"/>
      <c r="D16" s="48" t="n"/>
      <c r="E16" s="48" t="n"/>
      <c r="F16" s="47" t="n"/>
      <c r="G16" s="47" t="n"/>
      <c r="H16" s="47" t="n"/>
      <c r="I16" s="47" t="n"/>
      <c r="J16" s="48" t="n"/>
    </row>
    <row r="17" ht="32" customHeight="1">
      <c r="A17" s="49" t="n">
        <v>14</v>
      </c>
      <c r="B17" s="50" t="n"/>
      <c r="C17" s="50" t="n"/>
      <c r="D17" s="50" t="n"/>
      <c r="E17" s="50" t="n"/>
      <c r="F17" s="49" t="n"/>
      <c r="G17" s="49" t="n"/>
      <c r="H17" s="49" t="n"/>
      <c r="I17" s="49" t="n"/>
      <c r="J17" s="50" t="n"/>
    </row>
    <row r="18" ht="32" customHeight="1">
      <c r="A18" s="47" t="n">
        <v>15</v>
      </c>
      <c r="B18" s="48" t="n"/>
      <c r="C18" s="48" t="n"/>
      <c r="D18" s="48" t="n"/>
      <c r="E18" s="48" t="n"/>
      <c r="F18" s="47" t="n"/>
      <c r="G18" s="47" t="n"/>
      <c r="H18" s="47" t="n"/>
      <c r="I18" s="47" t="n"/>
      <c r="J18" s="48" t="n"/>
    </row>
  </sheetData>
  <mergeCells count="2">
    <mergeCell ref="A1:J1"/>
    <mergeCell ref="A2:J2"/>
  </mergeCells>
  <dataValidations count="1">
    <dataValidation sqref="I4 I5 I6 I7 I8 I9 I10 I11 I12 I13 I14 I15 I16 I17 I18" showDropDown="0" showInputMessage="0" showErrorMessage="0" allowBlank="1" type="list">
      <formula1>"🔴 Başlamadı,🟡 Devam Ediyor,🟢 Tamamlandı,⏸ Beklemede"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38" customWidth="1" min="4" max="4"/>
  </cols>
  <sheetData>
    <row r="1">
      <c r="A1" s="16" t="inlineStr">
        <is>
          <t>THE GOVERNANCE  ·  KVKK YASAL REFERANS KILAVUZU</t>
        </is>
      </c>
    </row>
    <row r="2">
      <c r="A2" s="2" t="n"/>
    </row>
    <row r="3" ht="6" customHeight="1"/>
    <row r="4" ht="26" customHeight="1">
      <c r="A4" s="18" t="inlineStr">
        <is>
          <t>TÜR</t>
        </is>
      </c>
      <c r="B4" s="18" t="inlineStr">
        <is>
          <t>KAYNAK</t>
        </is>
      </c>
      <c r="C4" s="18" t="inlineStr">
        <is>
          <t>AÇIKLAMA</t>
        </is>
      </c>
      <c r="D4" s="18" t="inlineStr">
        <is>
          <t>ERİŞİM</t>
        </is>
      </c>
    </row>
    <row r="5" ht="26" customHeight="1">
      <c r="A5" s="22" t="inlineStr">
        <is>
          <t>MEVZUAT</t>
        </is>
      </c>
      <c r="B5" s="22" t="inlineStr">
        <is>
          <t>6698 Sayılı KVKK</t>
        </is>
      </c>
      <c r="C5" s="22" t="inlineStr">
        <is>
          <t>Ana kanun — tüm kişisel veri işleme faaliyetlerinin dayanağı</t>
        </is>
      </c>
      <c r="D5" s="51" t="inlineStr">
        <is>
          <t>https://www.mevzuat.gov.tr</t>
        </is>
      </c>
    </row>
    <row r="6" ht="26" customHeight="1">
      <c r="A6" s="25" t="inlineStr">
        <is>
          <t>MEVZUAT</t>
        </is>
      </c>
      <c r="B6" s="25" t="inlineStr">
        <is>
          <t>VERBİS Yönetmeliği</t>
        </is>
      </c>
      <c r="C6" s="25" t="inlineStr">
        <is>
          <t>Veri Sorumluları Sicil Bilgi Sistemi kaydı zorunluluğu</t>
        </is>
      </c>
      <c r="D6" s="52" t="inlineStr">
        <is>
          <t>https://verbis.kvkk.gov.tr</t>
        </is>
      </c>
    </row>
    <row r="7" ht="26" customHeight="1">
      <c r="A7" s="22" t="inlineStr">
        <is>
          <t>MEVZUAT</t>
        </is>
      </c>
      <c r="B7" s="22" t="inlineStr">
        <is>
          <t>Silme, Yok Etme ve Anonimleştirme Yönetmeliği</t>
        </is>
      </c>
      <c r="C7" s="22" t="inlineStr">
        <is>
          <t>Saklama süreleri ve imha yükümlülükleri</t>
        </is>
      </c>
      <c r="D7" s="51" t="inlineStr">
        <is>
          <t>https://www.kvkk.gov.tr</t>
        </is>
      </c>
    </row>
    <row r="8" ht="26" customHeight="1">
      <c r="A8" s="25" t="inlineStr">
        <is>
          <t>KILAVUZ</t>
        </is>
      </c>
      <c r="B8" s="25" t="inlineStr">
        <is>
          <t>Üretken Yapay Zekâ Rehberi (Kasım 2025)</t>
        </is>
      </c>
      <c r="C8" s="25" t="inlineStr">
        <is>
          <t>AI platformlarına veri aktarımında uyum çerçevesi</t>
        </is>
      </c>
      <c r="D8" s="52" t="inlineStr">
        <is>
          <t>https://www.kvkk.gov.tr</t>
        </is>
      </c>
    </row>
    <row r="9" ht="26" customHeight="1">
      <c r="A9" s="22" t="inlineStr">
        <is>
          <t>KILAVUZ</t>
        </is>
      </c>
      <c r="B9" s="22" t="inlineStr">
        <is>
          <t>Aydınlatma Yükümlülüğü Rehberi</t>
        </is>
      </c>
      <c r="C9" s="22" t="inlineStr">
        <is>
          <t>Aydınlatma metni hazırlama kılavuzu</t>
        </is>
      </c>
      <c r="D9" s="51" t="inlineStr">
        <is>
          <t>https://www.kvkk.gov.tr</t>
        </is>
      </c>
    </row>
    <row r="10" ht="26" customHeight="1">
      <c r="A10" s="25" t="inlineStr">
        <is>
          <t>KILAVUZ</t>
        </is>
      </c>
      <c r="B10" s="25" t="inlineStr">
        <is>
          <t>İlgili Kişi Başvuru Rehberi</t>
        </is>
      </c>
      <c r="C10" s="25" t="inlineStr">
        <is>
          <t>Başvuru alma, değerlendirme ve yanıt prosedürleri</t>
        </is>
      </c>
      <c r="D10" s="52" t="inlineStr">
        <is>
          <t>https://www.kvkk.gov.tr</t>
        </is>
      </c>
    </row>
    <row r="11" ht="26" customHeight="1">
      <c r="A11" s="22" t="inlineStr">
        <is>
          <t>STANDART</t>
        </is>
      </c>
      <c r="B11" s="22" t="inlineStr">
        <is>
          <t>ISO/IEC 27701:2019</t>
        </is>
      </c>
      <c r="C11" s="22" t="inlineStr">
        <is>
          <t>Gizlilik bilgi yönetim sistemi standardı — KVKK uyumunu destekler</t>
        </is>
      </c>
      <c r="D11" s="51" t="inlineStr">
        <is>
          <t>https://www.iso.org</t>
        </is>
      </c>
    </row>
    <row r="12" ht="26" customHeight="1">
      <c r="A12" s="25" t="inlineStr">
        <is>
          <t>STANDART</t>
        </is>
      </c>
      <c r="B12" s="25" t="inlineStr">
        <is>
          <t>ISO/IEC 27001:2022</t>
        </is>
      </c>
      <c r="C12" s="25" t="inlineStr">
        <is>
          <t>Bilgi güvenliği yönetim sistemi — teknik güvenlik altyapısı</t>
        </is>
      </c>
      <c r="D12" s="52" t="inlineStr">
        <is>
          <t>https://www.iso.org</t>
        </is>
      </c>
    </row>
    <row r="13" ht="26" customHeight="1">
      <c r="A13" s="22" t="inlineStr">
        <is>
          <t>AB MEVZUAT</t>
        </is>
      </c>
      <c r="B13" s="22" t="inlineStr">
        <is>
          <t>GDPR (2016/679)</t>
        </is>
      </c>
      <c r="C13" s="22" t="inlineStr">
        <is>
          <t>AB Genel Veri Koruma Tüzüğü — AB ile iş yapan firmalar için</t>
        </is>
      </c>
      <c r="D13" s="51" t="inlineStr">
        <is>
          <t>https://gdpr-info.eu</t>
        </is>
      </c>
    </row>
    <row r="14" ht="26" customHeight="1">
      <c r="A14" s="25" t="inlineStr">
        <is>
          <t>AB MEVZUAT</t>
        </is>
      </c>
      <c r="B14" s="25" t="inlineStr">
        <is>
          <t>AB AI Act</t>
        </is>
      </c>
      <c r="C14" s="25" t="inlineStr">
        <is>
          <t>Yapay zeka sistemleri için AB düzenlemesi — 2026 uyum takvimi</t>
        </is>
      </c>
      <c r="D14" s="52" t="inlineStr">
        <is>
          <t>https://artificialintelligenceact.eu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2026-05-20T06:41:37Z</dcterms:created>
  <dcterms:modified xmlns:dcterms="http://purl.org/dc/terms/" xmlns:xsi="http://www.w3.org/2001/XMLSchema-instance" xsi:type="dcterms:W3CDTF">2026-05-20T06:41:38Z</dcterms:modified>
</cp:coreProperties>
</file>